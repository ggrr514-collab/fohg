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単元ガイド" sheetId="1" state="visible" r:id="rId1"/>
    <sheet name="評価基準" sheetId="2" state="visible" r:id="rId2"/>
    <sheet name="発問・回答" sheetId="3" state="visible" r:id="rId3"/>
    <sheet name="AIプロンプト" sheetId="4" state="visible" r:id="rId4"/>
    <sheet name="協議・比較ワーク" sheetId="5" state="visible" r:id="rId5"/>
  </sheets>
  <definedNames/>
  <calcPr calcId="124519" fullCalcOnLoad="1"/>
</workbook>
</file>

<file path=xl/styles.xml><?xml version="1.0" encoding="utf-8"?>
<styleSheet xmlns="http://schemas.openxmlformats.org/spreadsheetml/2006/main">
  <numFmts count="2">
    <numFmt numFmtId="164" formatCode="0&quot;組&quot;"/>
    <numFmt numFmtId="165" formatCode="0&quot;番&quot;"/>
  </numFmts>
  <fonts count="20">
    <font>
      <name val="Calibri"/>
      <family val="2"/>
      <color theme="1"/>
      <sz val="11"/>
      <scheme val="minor"/>
    </font>
    <font>
      <b val="1"/>
      <color rgb="00FFFFFF"/>
      <sz val="16"/>
    </font>
    <font>
      <b val="1"/>
      <sz val="12"/>
    </font>
    <font>
      <b val="1"/>
      <color rgb="00333333"/>
      <sz val="10"/>
    </font>
    <font>
      <b val="1"/>
      <color rgb="00C00000"/>
      <sz val="10"/>
    </font>
    <font>
      <b val="1"/>
      <color rgb="00FFFFFF"/>
      <sz val="11"/>
    </font>
    <font>
      <b val="1"/>
      <color rgb="001F3864"/>
      <sz val="12"/>
    </font>
    <font>
      <b val="1"/>
      <color rgb="001F3864"/>
      <sz val="11"/>
    </font>
    <font>
      <sz val="11"/>
    </font>
    <font>
      <b val="1"/>
      <color rgb="001F3864"/>
      <sz val="10"/>
    </font>
    <font>
      <color rgb="00555555"/>
      <sz val="9"/>
    </font>
    <font>
      <b val="1"/>
      <color rgb="001F3864"/>
      <sz val="13"/>
    </font>
    <font>
      <b val="1"/>
      <color rgb="00C00000"/>
      <sz val="13"/>
    </font>
    <font>
      <b val="1"/>
      <sz val="11"/>
    </font>
    <font>
      <i val="1"/>
      <color rgb="001A5276"/>
      <sz val="9"/>
    </font>
    <font>
      <i val="1"/>
      <sz val="10"/>
    </font>
    <font>
      <b val="1"/>
      <color rgb="00C00000"/>
      <sz val="11"/>
    </font>
    <font>
      <b val="1"/>
      <sz val="13"/>
    </font>
    <font>
      <sz val="10"/>
    </font>
    <font>
      <name val="Consolas"/>
      <sz val="10"/>
    </font>
  </fonts>
  <fills count="12">
    <fill>
      <patternFill/>
    </fill>
    <fill>
      <patternFill patternType="gray125"/>
    </fill>
    <fill>
      <patternFill patternType="solid">
        <fgColor rgb="001F3864"/>
      </patternFill>
    </fill>
    <fill>
      <patternFill patternType="solid">
        <fgColor rgb="00E8F0FE"/>
      </patternFill>
    </fill>
    <fill>
      <patternFill patternType="solid">
        <fgColor rgb="00F2F2F2"/>
      </patternFill>
    </fill>
    <fill>
      <patternFill patternType="solid">
        <fgColor rgb="00FFF2CC"/>
      </patternFill>
    </fill>
    <fill>
      <patternFill patternType="solid">
        <fgColor rgb="00D6E4F0"/>
      </patternFill>
    </fill>
    <fill>
      <patternFill patternType="solid">
        <fgColor rgb="00FADBD8"/>
      </patternFill>
    </fill>
    <fill>
      <patternFill patternType="solid">
        <fgColor rgb="00D5F5E3"/>
      </patternFill>
    </fill>
    <fill>
      <patternFill patternType="solid">
        <fgColor rgb="00FFFFF0"/>
      </patternFill>
    </fill>
    <fill>
      <patternFill patternType="solid">
        <fgColor rgb="00EBF5FB"/>
      </patternFill>
    </fill>
    <fill>
      <patternFill patternType="solid">
        <fgColor rgb="00E8DA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2" fillId="3" borderId="1" applyAlignment="1" pivotButton="0" quotePrefix="0" xfId="0">
      <alignment horizontal="center" vertical="center" wrapText="1"/>
    </xf>
    <xf numFmtId="0" fontId="4" fillId="0" borderId="0" applyAlignment="1" pivotButton="0" quotePrefix="0" xfId="0">
      <alignment vertical="top" wrapText="1"/>
    </xf>
    <xf numFmtId="0" fontId="5" fillId="2" borderId="0" applyAlignment="1" pivotButton="0" quotePrefix="0" xfId="0">
      <alignment vertical="center" wrapText="1"/>
    </xf>
    <xf numFmtId="0" fontId="6" fillId="5" borderId="0" applyAlignment="1" pivotButton="0" quotePrefix="0" xfId="0">
      <alignment vertical="center" wrapText="1"/>
    </xf>
    <xf numFmtId="0" fontId="7" fillId="6" borderId="0" applyAlignment="1" pivotButton="0" quotePrefix="0" xfId="0">
      <alignment vertical="center" wrapText="1"/>
    </xf>
    <xf numFmtId="0" fontId="3" fillId="4" borderId="1" applyAlignment="1" pivotButton="0" quotePrefix="0" xfId="0">
      <alignment vertical="center" wrapText="1"/>
    </xf>
    <xf numFmtId="0" fontId="8" fillId="0" borderId="1" applyAlignment="1" pivotButton="0" quotePrefix="0" xfId="0">
      <alignment vertical="center" wrapText="1"/>
    </xf>
    <xf numFmtId="0" fontId="9" fillId="0" borderId="1" applyAlignment="1" pivotButton="0" quotePrefix="0" xfId="0">
      <alignment vertical="center" wrapText="1"/>
    </xf>
    <xf numFmtId="0" fontId="9" fillId="7" borderId="1" applyAlignment="1" pivotButton="0" quotePrefix="0" xfId="0">
      <alignment vertical="center" wrapText="1"/>
    </xf>
    <xf numFmtId="0" fontId="5" fillId="2"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vertical="top" wrapText="1"/>
    </xf>
    <xf numFmtId="0" fontId="10" fillId="0" borderId="1" applyAlignment="1" pivotButton="0" quotePrefix="0" xfId="0">
      <alignment horizontal="center" vertical="center" wrapText="1"/>
    </xf>
    <xf numFmtId="0" fontId="4" fillId="7" borderId="0" applyAlignment="1" pivotButton="0" quotePrefix="0" xfId="0">
      <alignment vertical="top" wrapText="1"/>
    </xf>
    <xf numFmtId="0" fontId="10" fillId="0" borderId="1" applyAlignment="1" pivotButton="0" quotePrefix="0" xfId="0">
      <alignment vertical="center" wrapText="1"/>
    </xf>
    <xf numFmtId="0" fontId="10" fillId="8" borderId="0" applyAlignment="1" pivotButton="0" quotePrefix="0" xfId="0">
      <alignment vertical="top" wrapText="1"/>
    </xf>
    <xf numFmtId="0" fontId="8" fillId="8" borderId="0" applyAlignment="1" pivotButton="0" quotePrefix="0" xfId="0">
      <alignment vertical="top" wrapText="1"/>
    </xf>
    <xf numFmtId="0" fontId="6" fillId="5" borderId="0" applyAlignment="1" pivotButton="0" quotePrefix="0" xfId="0">
      <alignment vertical="top" wrapText="1"/>
    </xf>
    <xf numFmtId="0" fontId="11" fillId="4" borderId="1" applyAlignment="1" pivotButton="0" quotePrefix="0" xfId="0">
      <alignment horizontal="center" vertical="center" wrapText="1"/>
    </xf>
    <xf numFmtId="0" fontId="8" fillId="0" borderId="1" applyAlignment="1" pivotButton="0" quotePrefix="0" xfId="0">
      <alignment vertical="top" wrapText="1"/>
    </xf>
    <xf numFmtId="0" fontId="12" fillId="4" borderId="1" applyAlignment="1" pivotButton="0" quotePrefix="0" xfId="0">
      <alignment horizontal="center" vertical="center" wrapText="1"/>
    </xf>
    <xf numFmtId="0" fontId="13" fillId="4" borderId="0" applyAlignment="1" pivotButton="0" quotePrefix="0" xfId="0">
      <alignment vertical="top" wrapText="1"/>
    </xf>
    <xf numFmtId="0" fontId="8" fillId="9" borderId="1" applyAlignment="1" pivotButton="0" quotePrefix="0" xfId="0">
      <alignment vertical="top" wrapText="1"/>
    </xf>
    <xf numFmtId="0" fontId="14" fillId="10" borderId="0" applyAlignment="1" pivotButton="0" quotePrefix="0" xfId="0">
      <alignment vertical="top" wrapText="1"/>
    </xf>
    <xf numFmtId="0" fontId="7" fillId="5" borderId="0" applyAlignment="1" pivotButton="0" quotePrefix="0" xfId="0">
      <alignment vertical="center" wrapText="1"/>
    </xf>
    <xf numFmtId="0" fontId="13" fillId="5" borderId="0" applyAlignment="1" pivotButton="0" quotePrefix="0" xfId="0">
      <alignment vertical="top" wrapText="1"/>
    </xf>
    <xf numFmtId="0" fontId="15" fillId="0" borderId="0" applyAlignment="1" pivotButton="0" quotePrefix="0" xfId="0">
      <alignment vertical="top" wrapText="1"/>
    </xf>
    <xf numFmtId="0" fontId="3" fillId="4" borderId="0" applyAlignment="1" pivotButton="0" quotePrefix="0" xfId="0">
      <alignment vertical="top" wrapText="1"/>
    </xf>
    <xf numFmtId="0" fontId="16" fillId="5" borderId="0" applyAlignment="1" pivotButton="0" quotePrefix="0" xfId="0">
      <alignment vertical="top" wrapText="1"/>
    </xf>
    <xf numFmtId="0" fontId="7" fillId="0" borderId="1" applyAlignment="1" pivotButton="0" quotePrefix="0" xfId="0">
      <alignment horizontal="center" vertical="center" wrapText="1"/>
    </xf>
    <xf numFmtId="0" fontId="7" fillId="11" borderId="0" applyAlignment="1" pivotButton="0" quotePrefix="0" xfId="0">
      <alignment vertical="center" wrapText="1"/>
    </xf>
    <xf numFmtId="0" fontId="17" fillId="11" borderId="1" applyAlignment="1" pivotButton="0" quotePrefix="0" xfId="0">
      <alignment horizontal="center" vertical="center" wrapText="1"/>
    </xf>
    <xf numFmtId="0" fontId="18" fillId="11" borderId="1" applyAlignment="1" pivotButton="0" quotePrefix="0" xfId="0">
      <alignment vertical="top" wrapText="1"/>
    </xf>
    <xf numFmtId="0" fontId="17" fillId="8" borderId="1" applyAlignment="1" pivotButton="0" quotePrefix="0" xfId="0">
      <alignment horizontal="center" vertical="center" wrapText="1"/>
    </xf>
    <xf numFmtId="0" fontId="7" fillId="8" borderId="0" applyAlignment="1" pivotButton="0" quotePrefix="0" xfId="0">
      <alignment vertical="center" wrapText="1"/>
    </xf>
    <xf numFmtId="0" fontId="19" fillId="3" borderId="0" applyAlignment="1" pivotButton="0" quotePrefix="0" xfId="0">
      <alignment vertical="top" wrapText="1"/>
    </xf>
    <xf numFmtId="0" fontId="7" fillId="7" borderId="0" applyAlignment="1" pivotButton="0" quotePrefix="0" xfId="0">
      <alignment vertical="center" wrapText="1"/>
    </xf>
    <xf numFmtId="0" fontId="17"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6" customWidth="1" min="1" max="1"/>
    <col width="13" customWidth="1" min="2" max="2"/>
    <col width="13" customWidth="1" min="3" max="3"/>
    <col width="22" customWidth="1" min="4" max="4"/>
    <col width="16" customWidth="1" min="5" max="5"/>
    <col width="16" customWidth="1" min="6" max="6"/>
  </cols>
  <sheetData>
    <row r="1" ht="34" customHeight="1">
      <c r="A1" s="1" t="inlineStr">
        <is>
          <t>「私」を消すもの、「私」を支えるもの　――「素顔同盟」「私」を批判的に読む</t>
        </is>
      </c>
      <c r="B1" s="1" t="n"/>
      <c r="C1" s="1" t="n"/>
      <c r="D1" s="1" t="n"/>
      <c r="E1" s="1" t="n"/>
      <c r="F1" s="1" t="n"/>
    </row>
    <row r="2" ht="26" customHeight="1">
      <c r="A2" s="2" t="n"/>
      <c r="B2" s="3" t="n"/>
      <c r="C2" s="4" t="inlineStr">
        <is>
          <t>名前</t>
        </is>
      </c>
      <c r="D2" s="5" t="n"/>
      <c r="E2" s="5" t="n"/>
      <c r="F2" s="5" t="n"/>
    </row>
    <row r="3">
      <c r="A3" s="6" t="inlineStr">
        <is>
          <t>※ 組・番は半角数字で入力してね（例：3、15）</t>
        </is>
      </c>
      <c r="B3" s="6" t="n"/>
      <c r="C3" s="6" t="n"/>
      <c r="D3" s="6" t="n"/>
      <c r="E3" s="6" t="n"/>
      <c r="F3" s="6" t="n"/>
    </row>
    <row r="5" ht="22" customHeight="1">
      <c r="A5" s="7" t="inlineStr">
        <is>
          <t>■ 単元目標</t>
        </is>
      </c>
      <c r="B5" s="7" t="n"/>
      <c r="C5" s="7" t="n"/>
      <c r="D5" s="7" t="n"/>
      <c r="E5" s="7" t="n"/>
      <c r="F5" s="7" t="n"/>
    </row>
    <row r="6" ht="26" customHeight="1">
      <c r="A6" s="8" t="inlineStr">
        <is>
          <t>カギカッコに入れられた語などの働きに注意して語感を捉えながら、自分で選んだ（または自分で立てた）観点から二つの作品を批判的に読み、それぞれの文章に表れているものの見方や考え方について考えて、「私が私であること」についての自分の考えを批評文にまとめることができる。</t>
        </is>
      </c>
      <c r="B6" s="8" t="n"/>
      <c r="C6" s="8" t="n"/>
      <c r="D6" s="8" t="n"/>
      <c r="E6" s="8" t="n"/>
      <c r="F6" s="8" t="n"/>
    </row>
    <row r="7" ht="26" customHeight="1">
      <c r="A7" s="8" t="n"/>
      <c r="B7" s="8" t="n"/>
      <c r="C7" s="8" t="n"/>
      <c r="D7" s="8" t="n"/>
      <c r="E7" s="8" t="n"/>
      <c r="F7" s="8" t="n"/>
    </row>
    <row r="9" ht="22" customHeight="1">
      <c r="A9" s="9" t="inlineStr">
        <is>
          <t>■ この単元でつかう「批判の目」4つ　―― 毎時間これを手もとに置く</t>
        </is>
      </c>
      <c r="B9" s="9" t="n"/>
      <c r="C9" s="9" t="n"/>
      <c r="D9" s="9" t="n"/>
      <c r="E9" s="9" t="n"/>
      <c r="F9" s="9" t="n"/>
    </row>
    <row r="10">
      <c r="A10" s="6" t="inlineStr">
        <is>
          <t>「批判的に読む」＝作品にけちをつけることではない。鵜呑みにせず、根拠を確かめて吟味すること。</t>
        </is>
      </c>
      <c r="B10" s="6" t="n"/>
      <c r="C10" s="6" t="n"/>
      <c r="D10" s="6" t="n"/>
      <c r="E10" s="6" t="n"/>
      <c r="F10" s="6" t="n"/>
    </row>
    <row r="11" ht="24" customHeight="1">
      <c r="A11" s="10" t="inlineStr">
        <is>
          <t>① 誰の目で語られているか</t>
        </is>
      </c>
      <c r="B11" s="10" t="n"/>
      <c r="C11" s="11" t="inlineStr">
        <is>
          <t>語り手には何が見えていて、何が見えていないか</t>
        </is>
      </c>
      <c r="D11" s="11" t="n"/>
      <c r="E11" s="11" t="n"/>
      <c r="F11" s="11" t="n"/>
    </row>
    <row r="12" ht="24" customHeight="1">
      <c r="A12" s="10" t="inlineStr">
        <is>
          <t>② 何が当たり前として書かれていないか</t>
        </is>
      </c>
      <c r="B12" s="10" t="n"/>
      <c r="C12" s="11" t="inlineStr">
        <is>
          <t>疑われないまま置かれている前提は何か</t>
        </is>
      </c>
      <c r="D12" s="11" t="n"/>
      <c r="E12" s="11" t="n"/>
      <c r="F12" s="11" t="n"/>
    </row>
    <row r="13" ht="24" customHeight="1">
      <c r="A13" s="10" t="inlineStr">
        <is>
          <t>③ 何と何が対立させられているか</t>
        </is>
      </c>
      <c r="B13" s="10" t="n"/>
      <c r="C13" s="11" t="inlineStr">
        <is>
          <t>その対立は本当に対立か。作者が作った枠ではないか</t>
        </is>
      </c>
      <c r="D13" s="11" t="n"/>
      <c r="E13" s="11" t="n"/>
      <c r="F13" s="11" t="n"/>
    </row>
    <row r="14" ht="24" customHeight="1">
      <c r="A14" s="10" t="inlineStr">
        <is>
          <t>④ 結末は何を肯定し、何を問い残したか</t>
        </is>
      </c>
      <c r="B14" s="10" t="n"/>
      <c r="C14" s="11" t="inlineStr">
        <is>
          <t>言葉（「同盟」「模範」「正常」）はどんな価値づけを運んでいるか</t>
        </is>
      </c>
      <c r="D14" s="11" t="n"/>
      <c r="E14" s="11" t="n"/>
      <c r="F14" s="11" t="n"/>
    </row>
    <row r="16" ht="22" customHeight="1">
      <c r="A16" s="9" t="inlineStr">
        <is>
          <t>■ 二つの道具を使い分ける　―― ここが今回の単元のいちばん大事なところ</t>
        </is>
      </c>
      <c r="B16" s="9" t="n"/>
      <c r="C16" s="9" t="n"/>
      <c r="D16" s="9" t="n"/>
      <c r="E16" s="9" t="n"/>
      <c r="F16" s="9" t="n"/>
    </row>
    <row r="17" ht="32" customHeight="1">
      <c r="A17" s="10" t="inlineStr">
        <is>
          <t>「批判の目」4つ</t>
        </is>
      </c>
      <c r="B17" s="12" t="inlineStr">
        <is>
          <t>全員共通の「疑い方」</t>
        </is>
      </c>
      <c r="C17" s="12" t="n"/>
      <c r="D17" s="11" t="inlineStr">
        <is>
          <t>どう読むか。鵜呑みにせず根拠を確かめる方法。クラス全員が同じものを使う</t>
        </is>
      </c>
      <c r="E17" s="11" t="n"/>
      <c r="F17" s="11" t="n"/>
    </row>
    <row r="18" ht="32" customHeight="1">
      <c r="A18" s="10" t="inlineStr">
        <is>
          <t>「読みの観点」</t>
        </is>
      </c>
      <c r="B18" s="13" t="inlineStr">
        <is>
          <t>あなたが決める「どこを見るか」</t>
        </is>
      </c>
      <c r="C18" s="13" t="n"/>
      <c r="D18" s="11" t="inlineStr">
        <is>
          <t>作品のどこに目をつけるか。一人ひとりちがっていい。自分で決める</t>
        </is>
      </c>
      <c r="E18" s="11" t="n"/>
      <c r="F18" s="11" t="n"/>
    </row>
    <row r="19" ht="26" customHeight="1">
      <c r="A19" s="6" t="inlineStr">
        <is>
          <t>★ 同じ論題に、班の一人ひとりがちがう観点から答える。だから議論がかみ合いながら、何層にもなる。班は観点がばらけるように組みます。</t>
        </is>
      </c>
      <c r="B19" s="6" t="n"/>
      <c r="C19" s="6" t="n"/>
      <c r="D19" s="6" t="n"/>
      <c r="E19" s="6" t="n"/>
      <c r="F19" s="6" t="n"/>
    </row>
    <row r="21" ht="22" customHeight="1">
      <c r="A21" s="9" t="inlineStr">
        <is>
          <t>■ 授業の流れ（全7時間）</t>
        </is>
      </c>
      <c r="B21" s="9" t="n"/>
      <c r="C21" s="9" t="n"/>
      <c r="D21" s="9" t="n"/>
      <c r="E21" s="9" t="n"/>
      <c r="F21" s="9" t="n"/>
    </row>
    <row r="22">
      <c r="A22" s="14" t="inlineStr">
        <is>
          <t>時</t>
        </is>
      </c>
      <c r="B22" s="14" t="inlineStr">
        <is>
          <t>学習内容</t>
        </is>
      </c>
      <c r="C22" s="14" t="n"/>
      <c r="D22" s="14" t="inlineStr">
        <is>
          <t>あなたがやること</t>
        </is>
      </c>
      <c r="E22" s="14" t="n"/>
      <c r="F22" s="14" t="n"/>
    </row>
    <row r="23" ht="30" customHeight="1">
      <c r="A23" s="4" t="inlineStr">
        <is>
          <t>1</t>
        </is>
      </c>
      <c r="B23" s="11" t="inlineStr">
        <is>
          <t>単元開き／「素顔同盟」を読む</t>
        </is>
      </c>
      <c r="C23" s="11" t="n"/>
      <c r="D23" s="11" t="inlineStr">
        <is>
          <t>「批判の目」4つを受け取る。初発の感想を一文で書く。★自分の観点を仮決めする</t>
        </is>
      </c>
      <c r="E23" s="11" t="n"/>
      <c r="F23" s="11" t="n"/>
    </row>
    <row r="24" ht="30" customHeight="1">
      <c r="A24" s="4" t="inlineStr">
        <is>
          <t>2</t>
        </is>
      </c>
      <c r="B24" s="11" t="inlineStr">
        <is>
          <t>「素顔同盟」を吟味する</t>
        </is>
      </c>
      <c r="C24" s="11" t="n"/>
      <c r="D24" s="11" t="inlineStr">
        <is>
          <t>先生の主張の“擁護の根拠”を先に3つ探す→反論3つ／★自分の観点を確定し、その観点で見えたことを書く／宿題：「私」を読む</t>
        </is>
      </c>
      <c r="E24" s="11" t="n"/>
      <c r="F24" s="11" t="n"/>
    </row>
    <row r="25" ht="30" customHeight="1">
      <c r="A25" s="4" t="inlineStr">
        <is>
          <t>3</t>
        </is>
      </c>
      <c r="B25" s="11" t="inlineStr">
        <is>
          <t>「私」の語りを分析する</t>
        </is>
      </c>
      <c r="C25" s="11" t="n"/>
      <c r="D25" s="11" t="inlineStr">
        <is>
          <t>カギカッコ付きの語を全部丸で囲む→【発問①】を書く</t>
        </is>
      </c>
      <c r="E25" s="11" t="n"/>
      <c r="F25" s="11" t="n"/>
    </row>
    <row r="26" ht="30" customHeight="1">
      <c r="A26" s="4" t="inlineStr">
        <is>
          <t>4</t>
        </is>
      </c>
      <c r="B26" s="11" t="inlineStr">
        <is>
          <t>「私」の結末を吟味する／協議の準備</t>
        </is>
      </c>
      <c r="C26" s="11" t="n"/>
      <c r="D26" s="11" t="inlineStr">
        <is>
          <t>二作比較表→【発問②】を書く→★自分の観点で「私」から見えたことを書く→提案メモを作る</t>
        </is>
      </c>
      <c r="E26" s="11" t="n"/>
      <c r="F26" s="11" t="n"/>
    </row>
    <row r="27" ht="30" customHeight="1">
      <c r="A27" s="4" t="inlineStr">
        <is>
          <t>5</t>
        </is>
      </c>
      <c r="B27" s="11" t="inlineStr">
        <is>
          <t>グループ協議①（論題①②③）</t>
        </is>
      </c>
      <c r="C27" s="11" t="n"/>
      <c r="D27" s="11" t="inlineStr">
        <is>
          <t>10分×3ラウンド。自分の回で提案者をつとめる（自分の観点から答える）</t>
        </is>
      </c>
      <c r="E27" s="11" t="n"/>
      <c r="F27" s="11" t="n"/>
    </row>
    <row r="28" ht="30" customHeight="1">
      <c r="A28" s="4" t="inlineStr">
        <is>
          <t>6</t>
        </is>
      </c>
      <c r="B28" s="11" t="inlineStr">
        <is>
          <t>グループ協議②（論題④⑤⑥）</t>
        </is>
      </c>
      <c r="C28" s="11" t="n"/>
      <c r="D28" s="11" t="inlineStr">
        <is>
          <t>10分×3ラウンド。おわりに★「自分の観点では見えなかったこと」を書く</t>
        </is>
      </c>
      <c r="E28" s="11" t="n"/>
      <c r="F28" s="11" t="n"/>
    </row>
    <row r="29" ht="30" customHeight="1">
      <c r="A29" s="4" t="inlineStr">
        <is>
          <t>7</t>
        </is>
      </c>
      <c r="B29" s="11" t="inlineStr">
        <is>
          <t>代表者パネル協議／まとめ</t>
        </is>
      </c>
      <c r="C29" s="11" t="n"/>
      <c r="D29" s="11" t="inlineStr">
        <is>
          <t>フロア記録→批評文の「主張の一段落」200字を書き切る</t>
        </is>
      </c>
      <c r="E29" s="11" t="n"/>
      <c r="F29" s="11" t="n"/>
    </row>
    <row r="31" ht="22" customHeight="1">
      <c r="A31" s="9" t="inlineStr">
        <is>
          <t>■ 協議の進め方　1ラウンド10分の中身</t>
        </is>
      </c>
      <c r="B31" s="9" t="n"/>
      <c r="C31" s="9" t="n"/>
      <c r="D31" s="9" t="n"/>
      <c r="E31" s="9" t="n"/>
      <c r="F31" s="9" t="n"/>
    </row>
    <row r="32" ht="24" customHeight="1">
      <c r="A32" s="4" t="inlineStr">
        <is>
          <t>0:00〜2:00</t>
        </is>
      </c>
      <c r="B32" s="4" t="n"/>
      <c r="C32" s="11" t="inlineStr">
        <is>
          <t>提案者が提案メモを読む（主張1文＋本文の根拠2か所）</t>
        </is>
      </c>
      <c r="D32" s="11" t="n"/>
      <c r="E32" s="11" t="n"/>
      <c r="F32" s="11" t="n"/>
    </row>
    <row r="33" ht="24" customHeight="1">
      <c r="A33" s="4" t="inlineStr">
        <is>
          <t>2:00〜8:00</t>
        </is>
      </c>
      <c r="B33" s="4" t="n"/>
      <c r="C33" s="11" t="inlineStr">
        <is>
          <t>検討。提案者以外は全員、質問か反論を1回以上する</t>
        </is>
      </c>
      <c r="D33" s="11" t="n"/>
      <c r="E33" s="11" t="n"/>
      <c r="F33" s="11" t="n"/>
    </row>
    <row r="34" ht="24" customHeight="1">
      <c r="A34" s="4" t="inlineStr">
        <is>
          <t>8:00〜10:00</t>
        </is>
      </c>
      <c r="B34" s="4" t="n"/>
      <c r="C34" s="11" t="inlineStr">
        <is>
          <t>提案者が答える。議論の到達点を1文で言う。記録係が書き取る</t>
        </is>
      </c>
      <c r="D34" s="11" t="n"/>
      <c r="E34" s="11" t="n"/>
      <c r="F34" s="11" t="n"/>
    </row>
    <row r="36" ht="22" customHeight="1">
      <c r="A36" s="9" t="inlineStr">
        <is>
          <t>■ 常設の3役割　―― 毎ラウンド、時計回りに交代する</t>
        </is>
      </c>
      <c r="B36" s="9" t="n"/>
      <c r="C36" s="9" t="n"/>
      <c r="D36" s="9" t="n"/>
      <c r="E36" s="9" t="n"/>
      <c r="F36" s="9" t="n"/>
    </row>
    <row r="37" ht="24" customHeight="1">
      <c r="A37" s="15" t="inlineStr">
        <is>
          <t>引用チェック係</t>
        </is>
      </c>
      <c r="B37" s="15" t="n"/>
      <c r="C37" s="11" t="inlineStr">
        <is>
          <t>「今の意見、本文のどこ？」と必ず1回きく</t>
        </is>
      </c>
      <c r="D37" s="11" t="n"/>
      <c r="E37" s="11" t="n"/>
      <c r="F37" s="11" t="n"/>
    </row>
    <row r="38" ht="24" customHeight="1">
      <c r="A38" s="15" t="inlineStr">
        <is>
          <t>疑い係</t>
        </is>
      </c>
      <c r="B38" s="15" t="n"/>
      <c r="C38" s="11" t="inlineStr">
        <is>
          <t>「しかし」「とはいえ」で始まる発言を必ず1回する（賛成でも反対でもよい）</t>
        </is>
      </c>
      <c r="D38" s="11" t="n"/>
      <c r="E38" s="11" t="n"/>
      <c r="F38" s="11" t="n"/>
    </row>
    <row r="39" ht="24" customHeight="1">
      <c r="A39" s="15" t="inlineStr">
        <is>
          <t>記録係</t>
        </is>
      </c>
      <c r="B39" s="15" t="n"/>
      <c r="C39" s="11" t="inlineStr">
        <is>
          <t>提案者の主張と、議論の到達点を1行ずつ書く</t>
        </is>
      </c>
      <c r="D39" s="11" t="n"/>
      <c r="E39" s="11" t="n"/>
      <c r="F39" s="11" t="n"/>
    </row>
    <row r="41" ht="22" customHeight="1">
      <c r="A41" s="9" t="inlineStr">
        <is>
          <t>■ 協議の論題（6本）　―― 論題は全員共通。答え方は「自分の観点から」</t>
        </is>
      </c>
      <c r="B41" s="9" t="n"/>
      <c r="C41" s="9" t="n"/>
      <c r="D41" s="9" t="n"/>
      <c r="E41" s="9" t="n"/>
      <c r="F41" s="9" t="n"/>
    </row>
    <row r="42" ht="22" customHeight="1">
      <c r="A42" s="16" t="inlineStr">
        <is>
          <t>論題は班のみんなで同じものを考える。ちがうのは入口（観点）。自分が提案者になる論題を1つ決めておく。</t>
        </is>
      </c>
      <c r="B42" s="16" t="n"/>
      <c r="C42" s="16" t="n"/>
      <c r="D42" s="16" t="n"/>
      <c r="E42" s="16" t="n"/>
      <c r="F42" s="16" t="n"/>
    </row>
    <row r="43" ht="24" customHeight="1">
      <c r="A43" s="4" t="inlineStr">
        <is>
          <t>①</t>
        </is>
      </c>
      <c r="B43" s="11" t="inlineStr">
        <is>
          <t>「素顔同盟」の先生の主張はまちがっているか</t>
        </is>
      </c>
      <c r="C43" s="11" t="n"/>
      <c r="D43" s="11" t="n"/>
      <c r="E43" s="11" t="n"/>
      <c r="F43" s="17" t="inlineStr">
        <is>
          <t>第5時</t>
        </is>
      </c>
    </row>
    <row r="44" ht="24" customHeight="1">
      <c r="A44" s="4" t="inlineStr">
        <is>
          <t>②</t>
        </is>
      </c>
      <c r="B44" s="11" t="inlineStr">
        <is>
          <t>「僕」は川を上流へ歩いて自由になれるか。「同盟」という題名は何を暗示するか</t>
        </is>
      </c>
      <c r="C44" s="11" t="n"/>
      <c r="D44" s="11" t="n"/>
      <c r="E44" s="11" t="n"/>
      <c r="F44" s="17" t="inlineStr">
        <is>
          <t>第5時</t>
        </is>
      </c>
    </row>
    <row r="45" ht="24" customHeight="1">
      <c r="A45" s="4" t="inlineStr">
        <is>
          <t>③</t>
        </is>
      </c>
      <c r="B45" s="11" t="inlineStr">
        <is>
          <t>「私」の語り手は良い職員か</t>
        </is>
      </c>
      <c r="C45" s="11" t="n"/>
      <c r="D45" s="11" t="n"/>
      <c r="E45" s="11" t="n"/>
      <c r="F45" s="17" t="inlineStr">
        <is>
          <t>第5時</t>
        </is>
      </c>
    </row>
    <row r="46" ht="24" customHeight="1">
      <c r="A46" s="4" t="inlineStr">
        <is>
          <t>④</t>
        </is>
      </c>
      <c r="B46" s="11" t="inlineStr">
        <is>
          <t>「何の問題もない」への不安の正体は何か。語り手は何に気づいていないか</t>
        </is>
      </c>
      <c r="C46" s="11" t="n"/>
      <c r="D46" s="11" t="n"/>
      <c r="E46" s="11" t="n"/>
      <c r="F46" s="17" t="inlineStr">
        <is>
          <t>第6時</t>
        </is>
      </c>
    </row>
    <row r="47" ht="24" customHeight="1">
      <c r="A47" s="4" t="inlineStr">
        <is>
          <t>⑤</t>
        </is>
      </c>
      <c r="B47" s="11" t="inlineStr">
        <is>
          <t>社会の見方として、より怖いのはどちらの作品か</t>
        </is>
      </c>
      <c r="C47" s="11" t="n"/>
      <c r="D47" s="11" t="n"/>
      <c r="E47" s="11" t="n"/>
      <c r="F47" s="17" t="inlineStr">
        <is>
          <t>第6時</t>
        </is>
      </c>
    </row>
    <row r="48" ht="24" customHeight="1">
      <c r="A48" s="4" t="inlineStr">
        <is>
          <t>⑥</t>
        </is>
      </c>
      <c r="B48" s="11" t="inlineStr">
        <is>
          <t>「私が私であること」を支えるのは何か（＝批評文の主題）</t>
        </is>
      </c>
      <c r="C48" s="11" t="n"/>
      <c r="D48" s="11" t="n"/>
      <c r="E48" s="11" t="n"/>
      <c r="F48" s="17" t="inlineStr">
        <is>
          <t>第6時</t>
        </is>
      </c>
    </row>
    <row r="50" ht="22" customHeight="1">
      <c r="A50" s="9" t="inlineStr">
        <is>
          <t>■ 代表者パネル協議（第7時）　12分×2回</t>
        </is>
      </c>
      <c r="B50" s="9" t="n"/>
      <c r="C50" s="9" t="n"/>
      <c r="D50" s="9" t="n"/>
      <c r="E50" s="9" t="n"/>
      <c r="F50" s="9" t="n"/>
    </row>
    <row r="51" ht="24" customHeight="1">
      <c r="A51" s="4" t="inlineStr">
        <is>
          <t>パネル①</t>
        </is>
      </c>
      <c r="B51" s="4" t="n"/>
      <c r="C51" s="11" t="inlineStr">
        <is>
          <t>「私」の語り手は信頼できるか　―― 前半の班から各1名</t>
        </is>
      </c>
      <c r="D51" s="11" t="n"/>
      <c r="E51" s="11" t="n"/>
      <c r="F51" s="11" t="n"/>
    </row>
    <row r="52" ht="24" customHeight="1">
      <c r="A52" s="4" t="inlineStr">
        <is>
          <t>パネル②</t>
        </is>
      </c>
      <c r="B52" s="4" t="n"/>
      <c r="C52" s="11" t="inlineStr">
        <is>
          <t>「私」が「私」であることを支えるのは何か　―― 後半の班から各1名</t>
        </is>
      </c>
      <c r="D52" s="11" t="n"/>
      <c r="E52" s="11" t="n"/>
      <c r="F52" s="11" t="n"/>
    </row>
    <row r="53" ht="26" customHeight="1">
      <c r="A53" s="6" t="inlineStr">
        <is>
          <t>★ フロアの人も仕事がある：「自分の考えが動いた発言」を1つ、フロア記録シートに書く。これが批評文の条件③の材料になる。</t>
        </is>
      </c>
      <c r="B53" s="6" t="n"/>
      <c r="C53" s="6" t="n"/>
      <c r="D53" s="6" t="n"/>
      <c r="E53" s="6" t="n"/>
      <c r="F53" s="6" t="n"/>
    </row>
    <row r="55" ht="22" customHeight="1">
      <c r="A55" s="9" t="inlineStr">
        <is>
          <t>■ 班の人数別　ラウンド割り振り調整表</t>
        </is>
      </c>
      <c r="B55" s="9" t="n"/>
      <c r="C55" s="9" t="n"/>
      <c r="D55" s="9" t="n"/>
      <c r="E55" s="9" t="n"/>
      <c r="F55" s="9" t="n"/>
    </row>
    <row r="56" ht="24" customHeight="1">
      <c r="A56" s="4" t="inlineStr">
        <is>
          <t>6人</t>
        </is>
      </c>
      <c r="B56" s="11" t="inlineStr">
        <is>
          <t>1人1回、ぴったり</t>
        </is>
      </c>
      <c r="C56" s="11" t="n"/>
      <c r="D56" s="11" t="n"/>
      <c r="E56" s="11" t="n"/>
      <c r="F56" s="11" t="n"/>
    </row>
    <row r="57" ht="24" customHeight="1">
      <c r="A57" s="4" t="inlineStr">
        <is>
          <t>5人</t>
        </is>
      </c>
      <c r="B57" s="11" t="inlineStr">
        <is>
          <t>第6時の3ラウンド目（論題⑥）を2名の共同提案にする</t>
        </is>
      </c>
      <c r="C57" s="11" t="n"/>
      <c r="D57" s="11" t="n"/>
      <c r="E57" s="11" t="n"/>
      <c r="F57" s="11" t="n"/>
    </row>
    <row r="58" ht="24" customHeight="1">
      <c r="A58" s="4" t="inlineStr">
        <is>
          <t>4人</t>
        </is>
      </c>
      <c r="B58" s="11" t="inlineStr">
        <is>
          <t>論題を①③⑤⑥の4本に絞り、余った2ラウンドを「①と③の再検討」「⑥の練り直し」に充てる</t>
        </is>
      </c>
      <c r="C58" s="11" t="n"/>
      <c r="D58" s="11" t="n"/>
      <c r="E58" s="11" t="n"/>
      <c r="F58" s="11" t="n"/>
    </row>
    <row r="59" ht="24" customHeight="1">
      <c r="A59" s="4" t="inlineStr">
        <is>
          <t>7人</t>
        </is>
      </c>
      <c r="B59" s="11" t="inlineStr">
        <is>
          <t>論題②と⑥を各2名の共同提案にする</t>
        </is>
      </c>
      <c r="C59" s="11" t="n"/>
      <c r="D59" s="11" t="n"/>
      <c r="E59" s="11" t="n"/>
      <c r="F59" s="11" t="n"/>
    </row>
    <row r="61" ht="22" customHeight="1">
      <c r="A61" s="9" t="inlineStr">
        <is>
          <t>■ 「読みの観点」―― 9つの中から選ぶ。なければ自分で立てる</t>
        </is>
      </c>
      <c r="B61" s="9" t="n"/>
      <c r="C61" s="9" t="n"/>
      <c r="D61" s="9" t="n"/>
      <c r="E61" s="9" t="n"/>
      <c r="F61" s="9" t="n"/>
    </row>
    <row r="62" ht="40" customHeight="1">
      <c r="A62" s="18" t="inlineStr">
        <is>
          <t>必ず入れる観点は「批評・評価」の1つだけ。あとの1〜2個は【自分で決める】。9つの中にぴったりのものがなければ、自分の言葉で新しい観点を立ててよい。「先生が指定した観点」ではなく「自分が選んだ観点」で読むことが、この単元の課題です。</t>
        </is>
      </c>
      <c r="B62" s="18" t="n"/>
      <c r="C62" s="18" t="n"/>
      <c r="D62" s="18" t="n"/>
      <c r="E62" s="18" t="n"/>
      <c r="F62" s="18" t="n"/>
    </row>
    <row r="63" ht="24" customHeight="1">
      <c r="A63" s="4" t="inlineStr">
        <is>
          <t>第1層</t>
        </is>
      </c>
      <c r="B63" s="11" t="inlineStr">
        <is>
          <t>登場人物／設定／構成／視点・語り</t>
        </is>
      </c>
      <c r="C63" s="11" t="n"/>
      <c r="D63" s="11" t="n"/>
      <c r="E63" s="19" t="inlineStr">
        <is>
          <t>物語の世界をつかむ</t>
        </is>
      </c>
      <c r="F63" s="19" t="n"/>
    </row>
    <row r="64" ht="24" customHeight="1">
      <c r="A64" s="4" t="inlineStr">
        <is>
          <t>第2層</t>
        </is>
      </c>
      <c r="B64" s="11" t="inlineStr">
        <is>
          <t>表現の工夫／題名／主題</t>
        </is>
      </c>
      <c r="C64" s="11" t="n"/>
      <c r="D64" s="11" t="n"/>
      <c r="E64" s="19" t="inlineStr">
        <is>
          <t>ことばの工夫を見る</t>
        </is>
      </c>
      <c r="F64" s="19" t="n"/>
    </row>
    <row r="65" ht="24" customHeight="1">
      <c r="A65" s="4" t="inlineStr">
        <is>
          <t>第3層</t>
        </is>
      </c>
      <c r="B65" s="11" t="inlineStr">
        <is>
          <t>批評・評価（★必修）／自分に生かす</t>
        </is>
      </c>
      <c r="C65" s="11" t="n"/>
      <c r="D65" s="11" t="n"/>
      <c r="E65" s="19" t="inlineStr">
        <is>
          <t>読みを自分のものにする</t>
        </is>
      </c>
      <c r="F65" s="19" t="n"/>
    </row>
    <row r="66" ht="30" customHeight="1">
      <c r="A66" s="20" t="inlineStr">
        <is>
          <t>自分で観点を立てた例（過去の3年生より）：「笑顔」「名前」「仕事」「制度・ルール」「気づいていない人」――どれも9つの中にはないが、この二作を読むには強い観点になった。</t>
        </is>
      </c>
      <c r="B66" s="20" t="n"/>
      <c r="C66" s="20" t="n"/>
      <c r="D66" s="20" t="n"/>
      <c r="E66" s="20" t="n"/>
      <c r="F66" s="20" t="n"/>
    </row>
    <row r="67" ht="22" customHeight="1">
      <c r="A67" s="21" t="inlineStr">
        <is>
          <t>めざす深さ：3（自分の考えをもつ）　／　1 見つける → 2 つなげて考える → 3 自分の考えをもつ</t>
        </is>
      </c>
      <c r="B67" s="21" t="n"/>
      <c r="C67" s="21" t="n"/>
      <c r="D67" s="21" t="n"/>
      <c r="E67" s="21" t="n"/>
      <c r="F67" s="21" t="n"/>
    </row>
  </sheetData>
  <mergeCells count="81">
    <mergeCell ref="D2:F2"/>
    <mergeCell ref="C52:F52"/>
    <mergeCell ref="C39:F39"/>
    <mergeCell ref="A66:F66"/>
    <mergeCell ref="A51:B51"/>
    <mergeCell ref="B22:C22"/>
    <mergeCell ref="A50:F50"/>
    <mergeCell ref="C32:F32"/>
    <mergeCell ref="A3:F3"/>
    <mergeCell ref="C37:F37"/>
    <mergeCell ref="A55:F55"/>
    <mergeCell ref="B58:F58"/>
    <mergeCell ref="E64:F64"/>
    <mergeCell ref="C13:F13"/>
    <mergeCell ref="B45:E45"/>
    <mergeCell ref="D28:F28"/>
    <mergeCell ref="A5:F5"/>
    <mergeCell ref="E63:F63"/>
    <mergeCell ref="B47:E47"/>
    <mergeCell ref="E65:F65"/>
    <mergeCell ref="D29:F29"/>
    <mergeCell ref="D23:F23"/>
    <mergeCell ref="A33:B33"/>
    <mergeCell ref="A31:F31"/>
    <mergeCell ref="B24:C24"/>
    <mergeCell ref="B26:C26"/>
    <mergeCell ref="A39:B39"/>
    <mergeCell ref="A41:F41"/>
    <mergeCell ref="A16:F16"/>
    <mergeCell ref="D27:F27"/>
    <mergeCell ref="B25:C25"/>
    <mergeCell ref="A11:B11"/>
    <mergeCell ref="D17:F17"/>
    <mergeCell ref="B18:C18"/>
    <mergeCell ref="B27:C27"/>
    <mergeCell ref="B56:F56"/>
    <mergeCell ref="A42:F42"/>
    <mergeCell ref="A37:B37"/>
    <mergeCell ref="A62:F62"/>
    <mergeCell ref="D25:F25"/>
    <mergeCell ref="C14:F14"/>
    <mergeCell ref="B57:F57"/>
    <mergeCell ref="A6:F7"/>
    <mergeCell ref="B29:C29"/>
    <mergeCell ref="A9:F9"/>
    <mergeCell ref="A52:B52"/>
    <mergeCell ref="A61:F61"/>
    <mergeCell ref="A34:B34"/>
    <mergeCell ref="B59:F59"/>
    <mergeCell ref="C34:F34"/>
    <mergeCell ref="D18:F18"/>
    <mergeCell ref="B65:D65"/>
    <mergeCell ref="B17:C17"/>
    <mergeCell ref="A53:F53"/>
    <mergeCell ref="A12:B12"/>
    <mergeCell ref="A10:F10"/>
    <mergeCell ref="A19:F19"/>
    <mergeCell ref="B43:E43"/>
    <mergeCell ref="B63:D63"/>
    <mergeCell ref="B28:C28"/>
    <mergeCell ref="A32:B32"/>
    <mergeCell ref="A14:B14"/>
    <mergeCell ref="A38:B38"/>
    <mergeCell ref="A36:F36"/>
    <mergeCell ref="A1:F1"/>
    <mergeCell ref="C12:F12"/>
    <mergeCell ref="D22:F22"/>
    <mergeCell ref="B44:E44"/>
    <mergeCell ref="C51:F51"/>
    <mergeCell ref="C38:F38"/>
    <mergeCell ref="A21:F21"/>
    <mergeCell ref="B23:C23"/>
    <mergeCell ref="C33:F33"/>
    <mergeCell ref="B46:E46"/>
    <mergeCell ref="B64:D64"/>
    <mergeCell ref="D24:F24"/>
    <mergeCell ref="B48:E48"/>
    <mergeCell ref="A67:F67"/>
    <mergeCell ref="D26:F26"/>
    <mergeCell ref="A13:B13"/>
    <mergeCell ref="C11:F11"/>
  </mergeCells>
  <dataValidations count="2">
    <dataValidation sqref="A2" showDropDown="0" showInputMessage="0" showErrorMessage="1" allowBlank="1" errorTitle="組" error="1〜20の半角数字で入力してね" type="whole" operator="between">
      <formula1>1</formula1>
      <formula2>20</formula2>
    </dataValidation>
    <dataValidation sqref="B2" showDropDown="0" showInputMessage="0" showErrorMessage="1" allowBlank="1" errorTitle="番" error="1〜50の半角数字で入力してね" type="whole" operator="between">
      <formula1>1</formula1>
      <formula2>50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4" customWidth="1" min="2" max="2"/>
    <col width="62" customWidth="1" min="3" max="3"/>
    <col width="18" customWidth="1" min="4" max="4"/>
  </cols>
  <sheetData>
    <row r="1" ht="30" customHeight="1">
      <c r="A1" s="1" t="inlineStr">
        <is>
          <t>評価基準（ルーブリック）</t>
        </is>
      </c>
      <c r="B1" s="1" t="n"/>
      <c r="C1" s="1" t="n"/>
      <c r="D1" s="1" t="n"/>
    </row>
    <row r="2" ht="44" customHeight="1">
      <c r="A2" s="22" t="inlineStr">
        <is>
          <t>■ 単元目標：カギカッコに入れられた語などの働きに注意して語感を捉えながら、自分で選んだ（または自分で立てた）観点から二つの作品を批判的に読み、それぞれの文章に表れているものの見方や考え方について考えて、「私が私であること」についての自分の考えを批評文にまとめることができる。</t>
        </is>
      </c>
      <c r="B2" s="22" t="n"/>
      <c r="C2" s="22" t="n"/>
      <c r="D2" s="22" t="n"/>
    </row>
    <row r="4" ht="22" customHeight="1">
      <c r="A4" s="7" t="inlineStr">
        <is>
          <t>【知識・技能】(1)イ　語感を磨き語彙を豊かにする　／　評価するもの：発問①</t>
        </is>
      </c>
      <c r="B4" s="7" t="n"/>
      <c r="C4" s="7" t="n"/>
      <c r="D4" s="7" t="n"/>
    </row>
    <row r="5">
      <c r="A5" s="14" t="inlineStr">
        <is>
          <t>段階</t>
        </is>
      </c>
      <c r="B5" s="14" t="inlineStr">
        <is>
          <t>基準</t>
        </is>
      </c>
      <c r="C5" s="14" t="n"/>
      <c r="D5" s="14" t="n"/>
    </row>
    <row r="6" ht="46" customHeight="1">
      <c r="A6" s="23" t="inlineStr">
        <is>
          <t>A</t>
        </is>
      </c>
      <c r="B6" s="24" t="inlineStr">
        <is>
          <t>選んだカギカッコ付きの語の働きを、語り手の立場（制度を運用する側であること）と結びつけて説明し、自分の経験と対応させて言いかえている。例：「解決」とは相手が満足することであって、問題が解決することではない、と語り手自身が知っている</t>
        </is>
      </c>
      <c r="C6" s="24" t="n"/>
      <c r="D6" s="24" t="n"/>
    </row>
    <row r="7" ht="30" customHeight="1">
      <c r="A7" s="23" t="inlineStr">
        <is>
          <t>B</t>
        </is>
      </c>
      <c r="B7" s="24" t="inlineStr">
        <is>
          <t>その語が「言葉だけは立派で中身が空である」ことを示していると説明し、自分の経験を挙げている</t>
        </is>
      </c>
      <c r="C7" s="24" t="n"/>
      <c r="D7" s="24" t="n"/>
    </row>
    <row r="8" ht="30" customHeight="1">
      <c r="A8" s="23" t="inlineStr">
        <is>
          <t>C</t>
        </is>
      </c>
      <c r="B8" s="24" t="inlineStr">
        <is>
          <t>語を挙げるだけ、または経験を挙げるだけで、カギカッコの働きを説明できていない</t>
        </is>
      </c>
      <c r="C8" s="24" t="n"/>
      <c r="D8" s="24" t="n"/>
    </row>
    <row r="10" ht="22" customHeight="1">
      <c r="A10" s="7" t="inlineStr">
        <is>
          <t>【思考・判断・表現】C 読むこと(1)イ　文章を批判的に読む　／　評価するもの：批評文（総括）</t>
        </is>
      </c>
      <c r="B10" s="7" t="n"/>
      <c r="C10" s="7" t="n"/>
      <c r="D10" s="7" t="n"/>
    </row>
    <row r="11" ht="32" customHeight="1">
      <c r="A11" s="18" t="inlineStr">
        <is>
          <t>★★ B と A の分かれ目 ★★　　条件①（自分の観点を示し、その観点から両作品を引用）と条件②（「しかし／とはいえ」の疑いの一文）の【両方】に触れていなければ、A以上にはならない。</t>
        </is>
      </c>
      <c r="B11" s="18" t="n"/>
      <c r="C11" s="18" t="n"/>
      <c r="D11" s="18" t="n"/>
    </row>
    <row r="12">
      <c r="A12" s="14" t="inlineStr">
        <is>
          <t>段階</t>
        </is>
      </c>
      <c r="B12" s="14" t="inlineStr">
        <is>
          <t>基準</t>
        </is>
      </c>
      <c r="C12" s="14" t="n"/>
      <c r="D12" s="14" t="n"/>
    </row>
    <row r="13" ht="62" customHeight="1">
      <c r="A13" s="23" t="inlineStr">
        <is>
          <t>S</t>
        </is>
      </c>
      <c r="B13" s="24" t="inlineStr">
        <is>
          <t>条件①②を満たし、さらに協議で自分の考えが動いた地点を示して自分の生活・社会と結んでいる。加えて、【自分の観点だから見えたこと／その観点では見えなかったこと】の両方に触れ、自分の読みの前提や限界を自分で述べている（例：私は「笑顔」という観点で読んだので、仮面を外す場面ばかり見ていた。班の人の「制度」という観点を聞いて、僕が向かう森も一つの制度かもしれないと気づいた）</t>
        </is>
      </c>
      <c r="C13" s="24" t="n"/>
      <c r="D13" s="24" t="n"/>
    </row>
    <row r="14" ht="46" customHeight="1">
      <c r="A14" s="23" t="inlineStr">
        <is>
          <t>A</t>
        </is>
      </c>
      <c r="B14" s="24" t="inlineStr">
        <is>
          <t>条件①②の【両方】を満たしている。自分の観点を示し、その観点から両作品を引用してそれぞれの見方のちがいを捉え、少なくとも一方の見方に「しかし／とはいえ」で疑いを差しはさんでいる</t>
        </is>
      </c>
      <c r="C14" s="24" t="n"/>
      <c r="D14" s="24" t="n"/>
    </row>
    <row r="15" ht="34" customHeight="1">
      <c r="A15" s="23" t="inlineStr">
        <is>
          <t>B</t>
        </is>
      </c>
      <c r="B15" s="24" t="inlineStr">
        <is>
          <t>条件①②の【どちらか一方のみ】。観点を示して引用しているが疑いがない、または疑いはあるが観点が示されていない／引用が一方の作品にしかない</t>
        </is>
      </c>
      <c r="C15" s="24" t="n"/>
      <c r="D15" s="24" t="n"/>
    </row>
    <row r="16" ht="24" customHeight="1">
      <c r="A16" s="25" t="inlineStr">
        <is>
          <t>C</t>
        </is>
      </c>
      <c r="B16" s="24" t="inlineStr">
        <is>
          <t>両作品に触れているが、観点も引用も疑いもなく、あらすじや感想が中心</t>
        </is>
      </c>
      <c r="C16" s="24" t="n"/>
      <c r="D16" s="24" t="n"/>
    </row>
    <row r="17" ht="24" customHeight="1">
      <c r="A17" s="25" t="inlineStr">
        <is>
          <t>D</t>
        </is>
      </c>
      <c r="B17" s="24" t="inlineStr">
        <is>
          <t>一方の作品にしか触れていない、または未完</t>
        </is>
      </c>
      <c r="C17" s="24" t="n"/>
      <c r="D17" s="24" t="n"/>
    </row>
    <row r="19" ht="22" customHeight="1">
      <c r="A19" s="7" t="inlineStr">
        <is>
          <t>【主体的に学習に取り組む態度】／　評価するもの：提案メモ・記録係シート・フロア記録シート</t>
        </is>
      </c>
      <c r="B19" s="7" t="n"/>
      <c r="C19" s="7" t="n"/>
      <c r="D19" s="7" t="n"/>
    </row>
    <row r="20">
      <c r="A20" s="14" t="inlineStr">
        <is>
          <t>段階</t>
        </is>
      </c>
      <c r="B20" s="14" t="inlineStr">
        <is>
          <t>基準</t>
        </is>
      </c>
      <c r="C20" s="14" t="n"/>
      <c r="D20" s="14" t="n"/>
    </row>
    <row r="21" ht="46" customHeight="1">
      <c r="A21" s="23" t="inlineStr">
        <is>
          <t>A</t>
        </is>
      </c>
      <c r="B21" s="24" t="inlineStr">
        <is>
          <t>自分で観点を選び（または立て）、その観点から本文の根拠を示して提案し、他の観点からの指摘を受けて自分の読みを述べ直している（「自分の観点では見えなかったこと」の欄に、他者から得たものが具体的に書かれている）</t>
        </is>
      </c>
      <c r="C21" s="24" t="n"/>
      <c r="D21" s="24" t="n"/>
    </row>
    <row r="22" ht="30" customHeight="1">
      <c r="A22" s="23" t="inlineStr">
        <is>
          <t>B</t>
        </is>
      </c>
      <c r="B22" s="24" t="inlineStr">
        <is>
          <t>自分で観点を決め、提案者の役割を果たし、他のラウンドでも質問か反論を述べている</t>
        </is>
      </c>
      <c r="C22" s="24" t="n"/>
      <c r="D22" s="24" t="n"/>
    </row>
    <row r="23" ht="30" customHeight="1">
      <c r="A23" s="23" t="inlineStr">
        <is>
          <t>C</t>
        </is>
      </c>
      <c r="B23" s="24" t="inlineStr">
        <is>
          <t>観点が未記入、提案メモが未記入、または協議で発言していない</t>
        </is>
      </c>
      <c r="C23" s="24" t="n"/>
      <c r="D23" s="24" t="n"/>
    </row>
  </sheetData>
  <mergeCells count="20">
    <mergeCell ref="B14:D14"/>
    <mergeCell ref="B23:D23"/>
    <mergeCell ref="A4:D4"/>
    <mergeCell ref="B8:D8"/>
    <mergeCell ref="B17:D17"/>
    <mergeCell ref="B13:D13"/>
    <mergeCell ref="A19:D19"/>
    <mergeCell ref="A10:D10"/>
    <mergeCell ref="A11:D11"/>
    <mergeCell ref="B15:D15"/>
    <mergeCell ref="B6:D6"/>
    <mergeCell ref="B20:D20"/>
    <mergeCell ref="A1:D1"/>
    <mergeCell ref="B5:D5"/>
    <mergeCell ref="B7:D7"/>
    <mergeCell ref="B16:D16"/>
    <mergeCell ref="B22:D22"/>
    <mergeCell ref="B21:D21"/>
    <mergeCell ref="A2:D2"/>
    <mergeCell ref="B12:D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34" customWidth="1" min="1" max="1"/>
    <col width="34" customWidth="1" min="2" max="2"/>
    <col width="34" customWidth="1" min="3" max="3"/>
    <col width="14" customWidth="1" min="4" max="4"/>
  </cols>
  <sheetData>
    <row r="1" ht="30" customHeight="1">
      <c r="A1" s="1" t="inlineStr">
        <is>
          <t>発問・回答シート</t>
        </is>
      </c>
      <c r="B1" s="1" t="n"/>
      <c r="C1" s="1" t="n"/>
      <c r="D1" s="1" t="n"/>
    </row>
    <row r="2" ht="44" customHeight="1">
      <c r="A2" s="22" t="inlineStr">
        <is>
          <t>■ 単元目標：カギカッコに入れられた語などの働きに注意して語感を捉えながら、自分で選んだ（または自分で立てた）観点から二つの作品を批判的に読み、それぞれの文章に表れているものの見方や考え方について考えて、「私が私であること」についての自分の考えを批評文にまとめることができる。</t>
        </is>
      </c>
      <c r="B2" s="22" t="n"/>
      <c r="C2" s="22" t="n"/>
      <c r="D2" s="22" t="n"/>
    </row>
    <row r="4" ht="22" customHeight="1">
      <c r="A4" s="9" t="inlineStr">
        <is>
          <t>■ 発問（第3時・第4時）　―― まず自分で書く。書いてから、AIに見せる</t>
        </is>
      </c>
      <c r="B4" s="9" t="n"/>
      <c r="C4" s="9" t="n"/>
      <c r="D4" s="9" t="n"/>
    </row>
    <row r="5" ht="78" customHeight="1">
      <c r="A5" s="26" t="inlineStr">
        <is>
          <t>【発問①／知識・技能】　150〜200字
「私」の語り手は、「解決」「誠意」「対応」「模範的」「正常な状態」のように、大事な言葉をわざわざカギカッコに入れて使う。この中から一つ選び、あなた自身が「言葉だけは立派なのに中身がない」と感じた経験を一つ挙げたうえで、語り手がその言葉をカギカッコに入れて使うのはなぜか、自分の言葉で説明しよう。</t>
        </is>
      </c>
      <c r="B5" s="26" t="n"/>
      <c r="C5" s="26" t="n"/>
      <c r="D5" s="26" t="n"/>
    </row>
    <row r="6" ht="108" customHeight="1">
      <c r="A6" s="27" t="n"/>
      <c r="B6" s="27" t="n"/>
      <c r="C6" s="27" t="n"/>
      <c r="D6" s="17">
        <f>IF(A6="","0/200字",LEN(A6)&amp;"/200字")</f>
        <v/>
      </c>
    </row>
    <row r="7" ht="30" customHeight="1">
      <c r="A7" s="28" t="inlineStr">
        <is>
          <t>🤖 まず自分の経験と考えを自分の言葉で書こう。書き終わったら「AIプロンプト」シートの【壁打ち①】を使って、考えを深めるヒントをもらう。AIに答えを書いてもらうのではなく、フィードバックをもらうのが目的だよ。</t>
        </is>
      </c>
      <c r="B7" s="28" t="n"/>
      <c r="C7" s="28" t="n"/>
      <c r="D7" s="28" t="n"/>
    </row>
    <row r="9" ht="78" customHeight="1">
      <c r="A9" s="26" t="inlineStr">
        <is>
          <t>【発問②／思考・判断・表現】　200〜250字
「素顔同盟」の先生は「仮面は私たちに真の平和と自由を与えてくれた」と言う。もし明日からあなたのクラス全員が仮面をつけることになったら、何が良くなり、何が失われるだろうか。そのうえで、先生の主張と「僕」の見方の、どちらがより危ないと思うか、本文の言葉を引いて書こう。</t>
        </is>
      </c>
      <c r="B9" s="26" t="n"/>
      <c r="C9" s="26" t="n"/>
      <c r="D9" s="26" t="n"/>
    </row>
    <row r="10" ht="126" customHeight="1">
      <c r="A10" s="27" t="n"/>
      <c r="B10" s="27" t="n"/>
      <c r="C10" s="27" t="n"/>
      <c r="D10" s="17">
        <f>IF(A10="","0/250字",LEN(A10)&amp;"/250字")</f>
        <v/>
      </c>
    </row>
    <row r="11" ht="39" customHeight="1">
      <c r="A11" s="28" t="inlineStr">
        <is>
          <t>🤖 「僕が正しい」で終わっていないか自分で点検しよう。仮面のおかげで避けられている争いは、本文に書かれていないかな。自分の考えを書いたあとで【壁打ち①】に①②まとめて見せるとよい。AIに判断してもらうのではなく、見落としを教えてもらうつもりで。</t>
        </is>
      </c>
      <c r="B11" s="28" t="n"/>
      <c r="C11" s="28" t="n"/>
      <c r="D11" s="28" t="n"/>
    </row>
    <row r="13" ht="22" customHeight="1">
      <c r="A13" s="29" t="inlineStr">
        <is>
          <t>■ まとめ活動　批評文（800字）　第7時＋家庭学習</t>
        </is>
      </c>
      <c r="B13" s="29" t="n"/>
      <c r="C13" s="29" t="n"/>
      <c r="D13" s="29" t="n"/>
    </row>
    <row r="14" ht="32" customHeight="1">
      <c r="A14" s="6" t="inlineStr">
        <is>
          <t>【誰に・何のために書くか】　まだ「素顔同盟」も「私」も読んでいない、隣のクラスの友達に向けて書く。読んでいない相手だから、引用しないと伝わらない。</t>
        </is>
      </c>
      <c r="B14" s="6" t="n"/>
      <c r="C14" s="6" t="n"/>
      <c r="D14" s="6" t="n"/>
    </row>
    <row r="15" ht="38" customHeight="1">
      <c r="A15" s="30" t="inlineStr">
        <is>
          <t>【課題】あなたが選んだ観点から読むと、二つの作品は「私が私であること」を何が支え、何が奪うと考えているか。二つの作品のものの見方・考え方を検討したうえで、あなた自身の考えを書きなさい。（800字）</t>
        </is>
      </c>
      <c r="B15" s="30" t="n"/>
      <c r="C15" s="30" t="n"/>
      <c r="D15" s="30" t="n"/>
    </row>
    <row r="16" ht="78" customHeight="1">
      <c r="A16" s="31" t="inlineStr">
        <is>
          <t>【必ず入れること】
① 自分が選んだ（立てた）観点を最初に示し、その観点から両作品をそれぞれ一か所以上引用して、その作品が「私が私であること」について何を支え・何が奪うと考えているかを示す
② 少なくとも一方の作品の見方に対して、「しかし」「とはいえ」で始まる疑いの一文を入れる
③ 協議で自分の考えが動いた発言に触れ、「自分の観点では見えなかったこと」を書き、自分の生活や今の社会と結ぶ</t>
        </is>
      </c>
      <c r="B16" s="31" t="n"/>
      <c r="C16" s="31" t="n"/>
      <c r="D16" s="31" t="n"/>
    </row>
    <row r="17" ht="22" customHeight="1">
      <c r="A17" s="18" t="inlineStr">
        <is>
          <t>★ ①と②の両方に触れていないと、A以上にはならないよ。③まで書けるとSに届く。</t>
        </is>
      </c>
      <c r="B17" s="18" t="n"/>
      <c r="C17" s="18" t="n"/>
      <c r="D17" s="18" t="n"/>
    </row>
    <row r="18" ht="26" customHeight="1">
      <c r="A18" s="32" t="inlineStr">
        <is>
          <t>【構想メモ】　自分の観点／主張1文／「素顔同盟」からの引用／「私」からの引用／考えが動いた発言／自分の観点では見えなかったこと</t>
        </is>
      </c>
      <c r="B18" s="32" t="n"/>
      <c r="C18" s="32" t="n"/>
      <c r="D18" s="32" t="n"/>
    </row>
    <row r="19" ht="96" customHeight="1">
      <c r="A19" s="27" t="n"/>
      <c r="B19" s="27" t="n"/>
      <c r="C19" s="27" t="n"/>
    </row>
    <row r="20" ht="30" customHeight="1">
      <c r="A20" s="28" t="inlineStr">
        <is>
          <t>🤖 構想メモが書けたら「AIプロンプト」シートの【壁打ち②】で、条件①②を満たしているかだけ確認してもらおう。AIに構想を作ってもらうのはNG。自分の構想を点検してもらうために使う。</t>
        </is>
      </c>
      <c r="B20" s="28" t="n"/>
      <c r="C20" s="28" t="n"/>
      <c r="D20" s="28" t="n"/>
    </row>
    <row r="22" ht="26" customHeight="1">
      <c r="A22" s="32" t="inlineStr">
        <is>
          <t>【第7時に教室で書く：主張の一段落（200字）】　「私は○○という観点で読んだ」＋主張1文＋「素顔同盟」からの引用＋「私」からの引用をつなげる</t>
        </is>
      </c>
      <c r="B22" s="32" t="n"/>
      <c r="C22" s="32" t="n"/>
      <c r="D22" s="32" t="n"/>
    </row>
    <row r="23" ht="84" customHeight="1">
      <c r="A23" s="27" t="n"/>
      <c r="B23" s="27" t="n"/>
      <c r="C23" s="27" t="n"/>
      <c r="D23" s="17">
        <f>IF(A23="","0/200字",LEN(A23)&amp;"/200字")</f>
        <v/>
      </c>
    </row>
    <row r="24" ht="26" customHeight="1">
      <c r="A24" s="33" t="inlineStr">
        <is>
          <t>【批評文（800字）】　上の一段落を核にして、家庭学習で800字に展開する　★提出するのはここ</t>
        </is>
      </c>
      <c r="B24" s="33" t="n"/>
      <c r="C24" s="33" t="n"/>
      <c r="D24" s="33" t="n"/>
    </row>
    <row r="25" ht="300" customHeight="1">
      <c r="A25" s="27" t="n"/>
      <c r="B25" s="27" t="n"/>
      <c r="C25" s="27" t="n"/>
      <c r="D25" s="34">
        <f>IF(A25="","0/800字",LEN(A25)&amp;"/800字")</f>
        <v/>
      </c>
    </row>
    <row r="26" ht="30" customHeight="1">
      <c r="A26" s="28" t="inlineStr">
        <is>
          <t>🤖 書き終わったら「AIプロンプト」シートの【添削】を使って、条件①②③のチェックとヒントだけもらおう。AIに書き直してもらってはいけない。直すのは自分の手で。</t>
        </is>
      </c>
      <c r="B26" s="28" t="n"/>
      <c r="C26" s="28" t="n"/>
      <c r="D26" s="28" t="n"/>
    </row>
    <row r="28" ht="22" customHeight="1">
      <c r="A28" s="35" t="inlineStr">
        <is>
          <t>■ AIの評価と、自分の評価</t>
        </is>
      </c>
      <c r="B28" s="35" t="n"/>
      <c r="C28" s="35" t="n"/>
      <c r="D28" s="35" t="n"/>
    </row>
    <row r="29" ht="24" customHeight="1">
      <c r="A29" s="10" t="inlineStr">
        <is>
          <t>AIの評価（先生が入力して返します）</t>
        </is>
      </c>
      <c r="B29" s="10" t="n"/>
      <c r="C29" s="36" t="n"/>
      <c r="D29" s="36" t="n"/>
    </row>
    <row r="30" ht="60" customHeight="1">
      <c r="A30" s="10" t="inlineStr">
        <is>
          <t>AIからのコメント（先生が入力して返します）</t>
        </is>
      </c>
      <c r="B30" s="10" t="n"/>
      <c r="C30" s="37" t="n"/>
      <c r="D30" s="37" t="n"/>
    </row>
    <row r="31" ht="24" customHeight="1">
      <c r="A31" s="10" t="inlineStr">
        <is>
          <t>自分の評価（S・A・B・C・Dから選ぶ）</t>
        </is>
      </c>
      <c r="B31" s="10" t="n"/>
      <c r="C31" s="38" t="n"/>
      <c r="D31" s="38" t="n"/>
    </row>
    <row r="32" ht="30" customHeight="1">
      <c r="A32" s="28" t="inlineStr">
        <is>
          <t>🤖 AIの評価と自分の評価がずれたときが、いちばん学べるところ。どちらが正しいかではなく、なぜずれたのかを考えよう。</t>
        </is>
      </c>
      <c r="B32" s="28" t="n"/>
      <c r="C32" s="28" t="n"/>
      <c r="D32" s="28" t="n"/>
    </row>
    <row r="33" ht="26" customHeight="1">
      <c r="A33" s="32" t="inlineStr">
        <is>
          <t>【評価のちがいを考える】　AIの評価と自分の評価はなぜずれた（または一致した）のか（100字くらい）</t>
        </is>
      </c>
      <c r="B33" s="32" t="n"/>
      <c r="C33" s="32" t="n"/>
      <c r="D33" s="32" t="n"/>
    </row>
    <row r="34" ht="72" customHeight="1">
      <c r="A34" s="27" t="n"/>
      <c r="B34" s="27" t="n"/>
      <c r="C34" s="27" t="n"/>
      <c r="D34" s="17">
        <f>IF(A34="","0/100字",LEN(A34)&amp;"/100字")</f>
        <v/>
      </c>
    </row>
    <row r="36" ht="22" customHeight="1">
      <c r="A36" s="39" t="inlineStr">
        <is>
          <t>■ ふりかえり</t>
        </is>
      </c>
      <c r="B36" s="39" t="n"/>
      <c r="C36" s="39" t="n"/>
      <c r="D36" s="39" t="n"/>
    </row>
    <row r="37" ht="26" customHeight="1">
      <c r="A37" s="32" t="inlineStr">
        <is>
          <t>【ふりかえり】　この単元で、自分の読み方はどこが変わったか。「批判の目」の①〜④のどれがいちばん役に立ったか（150字くらい）</t>
        </is>
      </c>
      <c r="B37" s="32" t="n"/>
      <c r="C37" s="32" t="n"/>
      <c r="D37" s="32" t="n"/>
    </row>
    <row r="38" ht="96" customHeight="1">
      <c r="A38" s="27" t="n"/>
      <c r="B38" s="27" t="n"/>
      <c r="C38" s="27" t="n"/>
      <c r="D38" s="17">
        <f>IF(A38="","0/150字",LEN(A38)&amp;"/150字")</f>
        <v/>
      </c>
    </row>
  </sheetData>
  <mergeCells count="35">
    <mergeCell ref="A5:D5"/>
    <mergeCell ref="A17:D17"/>
    <mergeCell ref="A25:C25"/>
    <mergeCell ref="A30:B30"/>
    <mergeCell ref="C30:D30"/>
    <mergeCell ref="A22:D22"/>
    <mergeCell ref="A4:D4"/>
    <mergeCell ref="A20:D20"/>
    <mergeCell ref="A28:D28"/>
    <mergeCell ref="A13:D13"/>
    <mergeCell ref="A9:D9"/>
    <mergeCell ref="C29:D29"/>
    <mergeCell ref="A23:C23"/>
    <mergeCell ref="A15:D15"/>
    <mergeCell ref="A24:D24"/>
    <mergeCell ref="A11:D11"/>
    <mergeCell ref="C31:D31"/>
    <mergeCell ref="A38:C38"/>
    <mergeCell ref="A36:D36"/>
    <mergeCell ref="A10:C10"/>
    <mergeCell ref="A1:D1"/>
    <mergeCell ref="A19:C19"/>
    <mergeCell ref="A7:D7"/>
    <mergeCell ref="A16:D16"/>
    <mergeCell ref="A34:C34"/>
    <mergeCell ref="A37:D37"/>
    <mergeCell ref="A18:D18"/>
    <mergeCell ref="A29:B29"/>
    <mergeCell ref="A26:D26"/>
    <mergeCell ref="A6:C6"/>
    <mergeCell ref="A2:D2"/>
    <mergeCell ref="A33:D33"/>
    <mergeCell ref="A31:B31"/>
    <mergeCell ref="A32:D32"/>
    <mergeCell ref="A14:D14"/>
  </mergeCells>
  <dataValidations count="1">
    <dataValidation sqref="C31" showDropDown="0" showInputMessage="0" showErrorMessage="0" allowBlank="1" type="list">
      <formula1>"S,A,B,C,D"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ht="30" customHeight="1">
      <c r="A1" s="1" t="inlineStr">
        <is>
          <t>AIプロンプト集　――　コピーして使う</t>
        </is>
      </c>
    </row>
    <row r="2" ht="30" customHeight="1">
      <c r="A2" s="18" t="inlineStr">
        <is>
          <t>共通ルール：自分の名前は書かない／まず自分で書いてから使う／AIに書いてもらうのではなく、フィードバックをもらう</t>
        </is>
      </c>
    </row>
    <row r="4" ht="22" customHeight="1">
      <c r="A4" s="7" t="inlineStr">
        <is>
          <t>【壁打ち①　発問チェック】　―― 第3時・第4時で発問を書いたあとに使う</t>
        </is>
      </c>
    </row>
    <row r="5" ht="330" customHeight="1">
      <c r="A5" s="40" t="inlineStr">
        <is>
          <t>あなたは中学校国語の先生です。中学3年生にわかりやすい言葉で答えてください。
私は「素顔同盟」（すやまたけし）と「私」（三崎亜記）という二つの小説を、批判的に読む学習をしています。
「批判的に読む」とは、書いてあることを鵜呑みにせず、根拠を確かめて吟味することです。
下に私が書いた答えを貼ります。考えを深めるためのヒントをください。
次の3点にしぼってコメントしてください。
1. 本文の根拠が足りないところはどこか
2. 私が「当たり前」として疑わずに通してしまっている前提はないか
3. 反対の立場から出そうな反論は何か
★注意：私の文章を書き直さないでください。ヒントだけをください。300字以内で。
――――――――――――――――
【発問①への私の答え】
★ここに貼る★
【発問②への私の答え】
★ここに貼る★
――――――――――――――――</t>
        </is>
      </c>
    </row>
    <row r="7" ht="22" customHeight="1">
      <c r="A7" s="7" t="inlineStr">
        <is>
          <t>【壁打ち②　構想チェック】　―― 第7時のあと、批評文を書き始める前に使う</t>
        </is>
      </c>
    </row>
    <row r="8" ht="400" customHeight="1">
      <c r="A8" s="40" t="inlineStr">
        <is>
          <t>あなたは中学校国語の先生です。中学3年生にわかりやすい言葉で答えてください。
私は「素顔同盟」（すやまたけし）と「私」（三崎亜記）について、批評文（800字）を書きます。
読む相手は、まだこの二つの作品を読んでいない隣のクラスの友達です。
【課題】二つの作品は、「私が私であること」を何が支え、何が奪うと考えているか。
二つの作品のものの見方・考え方を検討したうえで、自分の考えを書く。
【必ず入れる条件】
① 自分が選んだ（自分で立てた）観点を最初に示し、その観点から両作品をそれぞれ一か所以上
   引用して、その作品が「私が私であること」について何を支え・何が奪うと考えているかを示す
② 少なくとも一方の作品の見方に対して、「しかし」「とはいえ」で始まる疑いの一文を入れる
③ 話し合いで自分の考えが動いた発言に触れ、「自分の観点では見えなかったこと」を書き、
   自分の生活や今の社会と結ぶ
下に私の構想メモを貼ります。①②③を満たしているかをチェックして、
足りないところを教えてください。読んでいない友達に伝わるかも見てください。
★私の観点そのものを「別の観点にしたほうがよい」と言い換えないでください。
　私が選んだ観点のまま、その観点で読みを深めるための助言をください。
★注意：構想を代わりに作らないでください。私の構想への助言だけをください。300字以内で。
――――――――――――――――
【私の構想メモ】
★ここに貼る★
――――――――――――――――</t>
        </is>
      </c>
    </row>
    <row r="10" ht="22" customHeight="1">
      <c r="A10" s="7" t="inlineStr">
        <is>
          <t>【添削　批評文アドバイス】　―― 批評文を書き終えたあとに使う</t>
        </is>
      </c>
    </row>
    <row r="11" ht="360" customHeight="1">
      <c r="A11" s="40" t="inlineStr">
        <is>
          <t>あなたは中学校国語の先生です。中学3年生にわかりやすい言葉で答えてください。
下に私が書いた批評文（800字）を貼ります。読む相手は、まだ「素顔同盟」も「私」も
読んでいない隣のクラスの友達です。
次のチェックリストで確認し、ヒントをください。
□ ① 自分の観点が最初に示されているか。その観点から両作品を引用し、引用が根拠になっているか
□ ② 少なくとも一方の作品の見方に「しかし」「とはいえ」で疑いを差しはさんでいるか
□ ③ 話し合いで考えが動いた発言に触れ、「自分の観点では見えなかったこと」を書き、
     自分の生活や社会と結んでいるか
□ 読んでいない友達にも、二つの作品の中身が伝わるか
□ あらすじの説明が長すぎて、自分の考えが薄くなっていないか
★私の観点を別の観点に置きかえる提案はしないでください。この観点のままで深める助言をください。
★注意：書き直した文章を出さないでください。直すのは私です。ヒントだけを400字以内で。
――――――――――――――――
【私の批評文】
★ここに貼る★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20" customWidth="1" min="1" max="1"/>
    <col width="40" customWidth="1" min="2" max="2"/>
    <col width="40" customWidth="1" min="3" max="3"/>
    <col width="12" customWidth="1" min="4" max="4"/>
  </cols>
  <sheetData>
    <row r="1" ht="30" customHeight="1">
      <c r="A1" s="1" t="inlineStr">
        <is>
          <t>協議・比較ワークシート（第4時〜第7時）</t>
        </is>
      </c>
      <c r="B1" s="1" t="n"/>
      <c r="C1" s="1" t="n"/>
      <c r="D1" s="1" t="n"/>
    </row>
    <row r="3" ht="22" customHeight="1">
      <c r="A3" s="41" t="inlineStr">
        <is>
          <t>■ ① 自分の読みの観点を決める（第1時のおわり〜第2時）　★この単元の出発点</t>
        </is>
      </c>
      <c r="B3" s="41" t="n"/>
      <c r="C3" s="41" t="n"/>
      <c r="D3" s="41" t="n"/>
    </row>
    <row r="4" ht="40" customHeight="1">
      <c r="A4" s="6" t="inlineStr">
        <is>
          <t>「批評・評価」は全員必修。あとの1〜2個は自分で決める。9つの中にぴったりのものがなければ、自分の言葉で新しい観点を立ててよい。（9つ＝登場人物／設定／構成／視点・語り／表現の工夫／題名／主題／批評・評価／自分に生かす）</t>
        </is>
      </c>
      <c r="B4" s="6" t="n"/>
      <c r="C4" s="6" t="n"/>
      <c r="D4" s="6" t="n"/>
    </row>
    <row r="5" ht="42" customHeight="1">
      <c r="A5" s="10" t="inlineStr">
        <is>
          <t>私が選んだ観点（1〜2個）　または自分で立てた観点の名前</t>
        </is>
      </c>
      <c r="B5" s="27" t="n"/>
      <c r="C5" s="27" t="n"/>
      <c r="D5" s="27" t="n"/>
    </row>
    <row r="6" ht="54" customHeight="1">
      <c r="A6" s="10" t="inlineStr">
        <is>
          <t>その観点を選んだ理由　――　この二作のどこが気になったからか</t>
        </is>
      </c>
      <c r="B6" s="27" t="n"/>
      <c r="C6" s="27" t="n"/>
      <c r="D6" s="27" t="n"/>
    </row>
    <row r="7" ht="66" customHeight="1">
      <c r="A7" s="10" t="inlineStr">
        <is>
          <t>【第2時】その観点で「素顔同盟」から見えたこと（本文のことばを入れて）</t>
        </is>
      </c>
      <c r="B7" s="27" t="n"/>
      <c r="C7" s="27" t="n"/>
      <c r="D7" s="27" t="n"/>
    </row>
    <row r="8" ht="66" customHeight="1">
      <c r="A8" s="10" t="inlineStr">
        <is>
          <t>【第4時】その観点で「私」から見えたこと（本文のことばを入れて）</t>
        </is>
      </c>
      <c r="B8" s="27" t="n"/>
      <c r="C8" s="27" t="n"/>
      <c r="D8" s="27" t="n"/>
    </row>
    <row r="9" ht="26" customHeight="1">
      <c r="A9" s="20" t="inlineStr">
        <is>
          <t>★ 観点は第2時のおわりに先生が見ます。班は「観点がばらけるように」組みます。同じ論題に、一人ひとりちがう入口から答えるためです。</t>
        </is>
      </c>
      <c r="B9" s="20" t="n"/>
      <c r="C9" s="20" t="n"/>
      <c r="D9" s="20" t="n"/>
    </row>
    <row r="11" ht="22" customHeight="1">
      <c r="A11" s="9" t="inlineStr">
        <is>
          <t>■ ② 二作比較表（第4時）　―― 批評文の材料になる。ここを埋めれば書ける</t>
        </is>
      </c>
      <c r="B11" s="9" t="n"/>
      <c r="C11" s="9" t="n"/>
      <c r="D11" s="9" t="n"/>
    </row>
    <row r="12">
      <c r="A12" s="14" t="inlineStr">
        <is>
          <t>比べること</t>
        </is>
      </c>
      <c r="B12" s="14" t="inlineStr">
        <is>
          <t>素顔同盟</t>
        </is>
      </c>
      <c r="C12" s="14" t="inlineStr">
        <is>
          <t>私</t>
        </is>
      </c>
      <c r="D12" s="14" t="inlineStr">
        <is>
          <t>気づいたこと</t>
        </is>
      </c>
    </row>
    <row r="13" ht="48" customHeight="1">
      <c r="A13" s="10" t="inlineStr">
        <is>
          <t>「私」を消すものは何か</t>
        </is>
      </c>
      <c r="B13" s="27" t="n"/>
      <c r="C13" s="27" t="n"/>
      <c r="D13" s="27" t="n"/>
    </row>
    <row r="14" ht="48" customHeight="1">
      <c r="A14" s="10" t="inlineStr">
        <is>
          <t>語り手はどんな立場の人か</t>
        </is>
      </c>
      <c r="B14" s="27" t="n"/>
      <c r="C14" s="27" t="n"/>
      <c r="D14" s="27" t="n"/>
    </row>
    <row r="15" ht="48" customHeight="1">
      <c r="A15" s="10" t="inlineStr">
        <is>
          <t>語り手は自分の状況に気づいているか</t>
        </is>
      </c>
      <c r="B15" s="27" t="n"/>
      <c r="C15" s="27" t="n"/>
      <c r="D15" s="27" t="n"/>
    </row>
    <row r="16" ht="48" customHeight="1">
      <c r="A16" s="10" t="inlineStr">
        <is>
          <t>結末で語り手は何をするか</t>
        </is>
      </c>
      <c r="B16" s="27" t="n"/>
      <c r="C16" s="27" t="n"/>
      <c r="D16" s="27" t="n"/>
    </row>
    <row r="17" ht="48" customHeight="1">
      <c r="A17" s="10" t="inlineStr">
        <is>
          <t>読者は語り手に共感できるか</t>
        </is>
      </c>
      <c r="B17" s="27" t="n"/>
      <c r="C17" s="27" t="n"/>
      <c r="D17" s="27" t="n"/>
    </row>
    <row r="18" ht="48" customHeight="1">
      <c r="A18" s="10" t="inlineStr">
        <is>
          <t>この作品は何を良いこととして書いているか</t>
        </is>
      </c>
      <c r="B18" s="27" t="n"/>
      <c r="C18" s="27" t="n"/>
      <c r="D18" s="27" t="n"/>
    </row>
    <row r="19" ht="48" customHeight="1">
      <c r="A19" s="10" t="inlineStr">
        <is>
          <t>本文の根拠（引用したい一文）</t>
        </is>
      </c>
      <c r="B19" s="27" t="n"/>
      <c r="C19" s="27" t="n"/>
      <c r="D19" s="27" t="n"/>
    </row>
    <row r="21" ht="22" customHeight="1">
      <c r="A21" s="29" t="inlineStr">
        <is>
          <t>■ ③ 提案メモ（第4時に作る／第5・6時で読む）　―― これを2分で読んで議論を始める</t>
        </is>
      </c>
      <c r="B21" s="29" t="n"/>
      <c r="C21" s="29" t="n"/>
      <c r="D21" s="29" t="n"/>
    </row>
    <row r="22" ht="26" customHeight="1">
      <c r="A22" s="6" t="inlineStr">
        <is>
          <t>★ 論題は班で共通。あなたは「自分の観点から」その論題に答える。だから同じ論題でも、班の人と言うことがちがってよい（ちがうほうがよい）。</t>
        </is>
      </c>
      <c r="B22" s="6" t="n"/>
      <c r="C22" s="6" t="n"/>
      <c r="D22" s="6" t="n"/>
    </row>
    <row r="23" ht="24" customHeight="1">
      <c r="A23" s="10" t="inlineStr">
        <is>
          <t>自分が提案者になる論題の番号（①〜⑥）</t>
        </is>
      </c>
      <c r="B23" s="10" t="n"/>
      <c r="C23" s="10" t="n"/>
      <c r="D23" s="42" t="n"/>
    </row>
    <row r="24" ht="36" customHeight="1">
      <c r="A24" s="10" t="inlineStr">
        <is>
          <t>私の観点（上で決めたもの）</t>
        </is>
      </c>
      <c r="B24" s="27" t="n"/>
      <c r="C24" s="27" t="n"/>
      <c r="D24" s="27" t="n"/>
    </row>
    <row r="25" ht="54" customHeight="1">
      <c r="A25" s="10" t="inlineStr">
        <is>
          <t>主張（1文で言い切る）　――「◯◯という観点から見ると、…」の形で</t>
        </is>
      </c>
      <c r="B25" s="27" t="n"/>
      <c r="C25" s="27" t="n"/>
      <c r="D25" s="27" t="n"/>
    </row>
    <row r="26" ht="54" customHeight="1">
      <c r="A26" s="10" t="inlineStr">
        <is>
          <t>根拠となる本文①（引用＋何ページ何行目か）</t>
        </is>
      </c>
      <c r="B26" s="27" t="n"/>
      <c r="C26" s="27" t="n"/>
      <c r="D26" s="27" t="n"/>
    </row>
    <row r="27" ht="54" customHeight="1">
      <c r="A27" s="10" t="inlineStr">
        <is>
          <t>根拠となる本文②（引用＋何ページ何行目か）</t>
        </is>
      </c>
      <c r="B27" s="27" t="n"/>
      <c r="C27" s="27" t="n"/>
      <c r="D27" s="27" t="n"/>
    </row>
    <row r="28" ht="54" customHeight="1">
      <c r="A28" s="10" t="inlineStr">
        <is>
          <t>反対されそうなこと、と自分の答え</t>
        </is>
      </c>
      <c r="B28" s="27" t="n"/>
      <c r="C28" s="27" t="n"/>
      <c r="D28" s="27" t="n"/>
    </row>
    <row r="30" ht="22" customHeight="1">
      <c r="A30" s="41" t="inlineStr">
        <is>
          <t>■ ④ 記録係シート（第5・6時）　―― 自分が記録係のラウンドで書く</t>
        </is>
      </c>
      <c r="B30" s="41" t="n"/>
      <c r="C30" s="41" t="n"/>
      <c r="D30" s="41" t="n"/>
    </row>
    <row r="31">
      <c r="A31" s="14" t="inlineStr">
        <is>
          <t>ラウンド</t>
        </is>
      </c>
      <c r="B31" s="14" t="inlineStr">
        <is>
          <t>提案者の主張（1行）</t>
        </is>
      </c>
      <c r="C31" s="14" t="inlineStr">
        <is>
          <t>議論の到達点（1行）</t>
        </is>
      </c>
      <c r="D31" s="14" t="inlineStr">
        <is>
          <t>提案者の観点</t>
        </is>
      </c>
    </row>
    <row r="32" ht="40" customHeight="1">
      <c r="A32" s="4" t="inlineStr">
        <is>
          <t>第1 ラウンド</t>
        </is>
      </c>
      <c r="B32" s="27" t="n"/>
      <c r="C32" s="27" t="n"/>
      <c r="D32" s="27" t="n"/>
    </row>
    <row r="33" ht="40" customHeight="1">
      <c r="A33" s="4" t="inlineStr">
        <is>
          <t>第2 ラウンド</t>
        </is>
      </c>
      <c r="B33" s="27" t="n"/>
      <c r="C33" s="27" t="n"/>
      <c r="D33" s="27" t="n"/>
    </row>
    <row r="34" ht="40" customHeight="1">
      <c r="A34" s="4" t="inlineStr">
        <is>
          <t>第3 ラウンド</t>
        </is>
      </c>
      <c r="B34" s="27" t="n"/>
      <c r="C34" s="27" t="n"/>
      <c r="D34" s="27" t="n"/>
    </row>
    <row r="35" ht="40" customHeight="1">
      <c r="A35" s="4" t="inlineStr">
        <is>
          <t>第4 ラウンド</t>
        </is>
      </c>
      <c r="B35" s="27" t="n"/>
      <c r="C35" s="27" t="n"/>
      <c r="D35" s="27" t="n"/>
    </row>
    <row r="36" ht="40" customHeight="1">
      <c r="A36" s="4" t="inlineStr">
        <is>
          <t>第5 ラウンド</t>
        </is>
      </c>
      <c r="B36" s="27" t="n"/>
      <c r="C36" s="27" t="n"/>
      <c r="D36" s="27" t="n"/>
    </row>
    <row r="37" ht="40" customHeight="1">
      <c r="A37" s="4" t="inlineStr">
        <is>
          <t>第6 ラウンド</t>
        </is>
      </c>
      <c r="B37" s="27" t="n"/>
      <c r="C37" s="27" t="n"/>
      <c r="D37" s="27" t="n"/>
    </row>
    <row r="39" ht="22" customHeight="1">
      <c r="A39" s="41" t="inlineStr">
        <is>
          <t>■ ⑤ 第6時のおわりに：自分の観点では見えなかったこと　★批評文の条件③の中心</t>
        </is>
      </c>
      <c r="B39" s="41" t="n"/>
      <c r="C39" s="41" t="n"/>
      <c r="D39" s="41" t="n"/>
    </row>
    <row r="40" ht="22" customHeight="1">
      <c r="A40" s="16" t="inlineStr">
        <is>
          <t>6ラウンドを終えて書く。ここが書けると、自分の読みを自分で吟味したことになる。</t>
        </is>
      </c>
      <c r="B40" s="16" t="n"/>
      <c r="C40" s="16" t="n"/>
      <c r="D40" s="16" t="n"/>
    </row>
    <row r="41" ht="58" customHeight="1">
      <c r="A41" s="10" t="inlineStr">
        <is>
          <t>私の観点だから見えたこと（ほかの人は言わなかったこと）</t>
        </is>
      </c>
      <c r="B41" s="27" t="n"/>
      <c r="C41" s="27" t="n"/>
      <c r="D41" s="27" t="n"/>
    </row>
    <row r="42" ht="58" customHeight="1">
      <c r="A42" s="10" t="inlineStr">
        <is>
          <t>私の観点では見えなかったこと（だれの、どの観点から教わったか）</t>
        </is>
      </c>
      <c r="B42" s="27" t="n"/>
      <c r="C42" s="27" t="n"/>
      <c r="D42" s="27" t="n"/>
    </row>
    <row r="43" ht="58" customHeight="1">
      <c r="A43" s="10" t="inlineStr">
        <is>
          <t>それを知って、自分の読みはどう変わったか</t>
        </is>
      </c>
      <c r="B43" s="27" t="n"/>
      <c r="C43" s="27" t="n"/>
      <c r="D43" s="27" t="n"/>
    </row>
    <row r="45" ht="22" customHeight="1">
      <c r="A45" s="39" t="inlineStr">
        <is>
          <t>■ ⑥ フロア記録シート（第7時）　―― パネルを聞きながら書く</t>
        </is>
      </c>
      <c r="B45" s="39" t="n"/>
      <c r="C45" s="39" t="n"/>
      <c r="D45" s="39" t="n"/>
    </row>
    <row r="46" ht="54" customHeight="1">
      <c r="A46" s="10" t="inlineStr">
        <is>
          <t>パネル①で「自分の考えが動いた発言」（だれの、どんな観点からの発言か）</t>
        </is>
      </c>
      <c r="B46" s="27" t="n"/>
      <c r="C46" s="27" t="n"/>
      <c r="D46" s="27" t="n"/>
    </row>
    <row r="47" ht="54" customHeight="1">
      <c r="A47" s="10" t="inlineStr">
        <is>
          <t xml:space="preserve">　なぜ動いたのか（自分はそれまでどう考えていたか）</t>
        </is>
      </c>
      <c r="B47" s="27" t="n"/>
      <c r="C47" s="27" t="n"/>
      <c r="D47" s="27" t="n"/>
    </row>
    <row r="48" ht="54" customHeight="1">
      <c r="A48" s="10" t="inlineStr">
        <is>
          <t>パネル②で「自分の考えが動いた発言」</t>
        </is>
      </c>
      <c r="B48" s="27" t="n"/>
      <c r="C48" s="27" t="n"/>
      <c r="D48" s="27" t="n"/>
    </row>
    <row r="49" ht="54" customHeight="1">
      <c r="A49" s="10" t="inlineStr">
        <is>
          <t xml:space="preserve">　なぜ動いたのか</t>
        </is>
      </c>
      <c r="B49" s="27" t="n"/>
      <c r="C49" s="27" t="n"/>
      <c r="D49" s="27" t="n"/>
    </row>
  </sheetData>
  <mergeCells count="28">
    <mergeCell ref="B42:D42"/>
    <mergeCell ref="A22:D22"/>
    <mergeCell ref="A4:D4"/>
    <mergeCell ref="B8:D8"/>
    <mergeCell ref="B28:D28"/>
    <mergeCell ref="A40:D40"/>
    <mergeCell ref="A9:D9"/>
    <mergeCell ref="A23:C23"/>
    <mergeCell ref="B49:D49"/>
    <mergeCell ref="A30:D30"/>
    <mergeCell ref="A39:D39"/>
    <mergeCell ref="A11:D11"/>
    <mergeCell ref="B6:D6"/>
    <mergeCell ref="B24:D24"/>
    <mergeCell ref="A1:D1"/>
    <mergeCell ref="A45:D45"/>
    <mergeCell ref="B5:D5"/>
    <mergeCell ref="B41:D41"/>
    <mergeCell ref="B26:D26"/>
    <mergeCell ref="B7:D7"/>
    <mergeCell ref="B25:D25"/>
    <mergeCell ref="B47:D47"/>
    <mergeCell ref="B46:D46"/>
    <mergeCell ref="A3:D3"/>
    <mergeCell ref="A21:D21"/>
    <mergeCell ref="B27:D27"/>
    <mergeCell ref="B43:D43"/>
    <mergeCell ref="B48:D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2026-09-24T07:39:22Z</dcterms:created>
  <dcterms:modified xsi:type="dcterms:W3CDTF">2026-09-24T07:39:22Z</dcterms:modified>
</cp:coreProperties>
</file>