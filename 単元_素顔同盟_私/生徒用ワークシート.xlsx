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単元ガイド" sheetId="1" state="visible" r:id="rId1"/>
    <sheet name="評価基準" sheetId="2" state="visible" r:id="rId2"/>
    <sheet name="発問・回答" sheetId="3" state="visible" r:id="rId3"/>
    <sheet name="AIプロンプト" sheetId="4" state="visible" r:id="rId4"/>
    <sheet name="協議・比較ワーク" sheetId="5" state="visible" r:id="rId5"/>
  </sheets>
  <definedNames/>
  <calcPr calcId="124519" fullCalcOnLoad="1"/>
</workbook>
</file>

<file path=xl/styles.xml><?xml version="1.0" encoding="utf-8"?>
<styleSheet xmlns="http://schemas.openxmlformats.org/spreadsheetml/2006/main">
  <numFmts count="2">
    <numFmt numFmtId="164" formatCode="0&quot;組&quot;"/>
    <numFmt numFmtId="165" formatCode="0&quot;番&quot;"/>
  </numFmts>
  <fonts count="19">
    <font>
      <name val="Calibri"/>
      <family val="2"/>
      <color theme="1"/>
      <sz val="11"/>
      <scheme val="minor"/>
    </font>
    <font>
      <b val="1"/>
      <color rgb="00FFFFFF"/>
      <sz val="16"/>
    </font>
    <font>
      <b val="1"/>
      <sz val="12"/>
    </font>
    <font>
      <b val="1"/>
      <color rgb="00333333"/>
      <sz val="10"/>
    </font>
    <font>
      <b val="1"/>
      <color rgb="00C00000"/>
      <sz val="10"/>
    </font>
    <font>
      <b val="1"/>
      <color rgb="00FFFFFF"/>
      <sz val="11"/>
    </font>
    <font>
      <b val="1"/>
      <color rgb="001F3864"/>
      <sz val="12"/>
    </font>
    <font>
      <b val="1"/>
      <color rgb="001F3864"/>
      <sz val="11"/>
    </font>
    <font>
      <sz val="11"/>
    </font>
    <font>
      <color rgb="00555555"/>
      <sz val="9"/>
    </font>
    <font>
      <b val="1"/>
      <color rgb="001F3864"/>
      <sz val="13"/>
    </font>
    <font>
      <b val="1"/>
      <color rgb="00C00000"/>
      <sz val="13"/>
    </font>
    <font>
      <b val="1"/>
      <sz val="11"/>
    </font>
    <font>
      <i val="1"/>
      <color rgb="001A5276"/>
      <sz val="9"/>
    </font>
    <font>
      <i val="1"/>
      <sz val="10"/>
    </font>
    <font>
      <b val="1"/>
      <color rgb="00C00000"/>
      <sz val="11"/>
    </font>
    <font>
      <b val="1"/>
      <sz val="13"/>
    </font>
    <font>
      <sz val="10"/>
    </font>
    <font>
      <name val="Consolas"/>
      <sz val="10"/>
    </font>
  </fonts>
  <fills count="12">
    <fill>
      <patternFill/>
    </fill>
    <fill>
      <patternFill patternType="gray125"/>
    </fill>
    <fill>
      <patternFill patternType="solid">
        <fgColor rgb="001F3864"/>
      </patternFill>
    </fill>
    <fill>
      <patternFill patternType="solid">
        <fgColor rgb="00E8F0FE"/>
      </patternFill>
    </fill>
    <fill>
      <patternFill patternType="solid">
        <fgColor rgb="00F2F2F2"/>
      </patternFill>
    </fill>
    <fill>
      <patternFill patternType="solid">
        <fgColor rgb="00FFF2CC"/>
      </patternFill>
    </fill>
    <fill>
      <patternFill patternType="solid">
        <fgColor rgb="00D6E4F0"/>
      </patternFill>
    </fill>
    <fill>
      <patternFill patternType="solid">
        <fgColor rgb="00FADBD8"/>
      </patternFill>
    </fill>
    <fill>
      <patternFill patternType="solid">
        <fgColor rgb="00D5F5E3"/>
      </patternFill>
    </fill>
    <fill>
      <patternFill patternType="solid">
        <fgColor rgb="00FFFFF0"/>
      </patternFill>
    </fill>
    <fill>
      <patternFill patternType="solid">
        <fgColor rgb="00EBF5FB"/>
      </patternFill>
    </fill>
    <fill>
      <patternFill patternType="solid">
        <fgColor rgb="00E8DA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2" fillId="3" borderId="1" applyAlignment="1" pivotButton="0" quotePrefix="0" xfId="0">
      <alignment horizontal="center" vertical="center" wrapText="1"/>
    </xf>
    <xf numFmtId="0" fontId="4" fillId="0" borderId="0" applyAlignment="1" pivotButton="0" quotePrefix="0" xfId="0">
      <alignment vertical="top" wrapText="1"/>
    </xf>
    <xf numFmtId="0" fontId="5" fillId="2" borderId="0" applyAlignment="1" pivotButton="0" quotePrefix="0" xfId="0">
      <alignment vertical="center" wrapText="1"/>
    </xf>
    <xf numFmtId="0" fontId="6" fillId="5" borderId="0" applyAlignment="1" pivotButton="0" quotePrefix="0" xfId="0">
      <alignment vertical="center" wrapText="1"/>
    </xf>
    <xf numFmtId="0" fontId="7" fillId="6" borderId="0" applyAlignment="1" pivotButton="0" quotePrefix="0" xfId="0">
      <alignment vertical="center" wrapText="1"/>
    </xf>
    <xf numFmtId="0" fontId="3" fillId="4" borderId="1" applyAlignment="1" pivotButton="0" quotePrefix="0" xfId="0">
      <alignment vertical="center" wrapText="1"/>
    </xf>
    <xf numFmtId="0" fontId="8" fillId="0" borderId="1" applyAlignment="1" pivotButton="0" quotePrefix="0" xfId="0">
      <alignment vertical="center" wrapText="1"/>
    </xf>
    <xf numFmtId="0" fontId="5" fillId="2" borderId="1" applyAlignment="1" pivotButton="0" quotePrefix="0" xfId="0">
      <alignment horizontal="center" vertical="center" wrapText="1"/>
    </xf>
    <xf numFmtId="0" fontId="3" fillId="7" borderId="1" applyAlignment="1" pivotButton="0" quotePrefix="0" xfId="0">
      <alignment horizontal="center" vertical="center" wrapText="1"/>
    </xf>
    <xf numFmtId="0" fontId="9" fillId="0" borderId="1" applyAlignment="1" pivotButton="0" quotePrefix="0" xfId="0">
      <alignment horizontal="center" vertical="center" wrapText="1"/>
    </xf>
    <xf numFmtId="0" fontId="8" fillId="8" borderId="0" applyAlignment="1" pivotButton="0" quotePrefix="0" xfId="0">
      <alignment vertical="top" wrapText="1"/>
    </xf>
    <xf numFmtId="0" fontId="6" fillId="5" borderId="0" applyAlignment="1" pivotButton="0" quotePrefix="0" xfId="0">
      <alignment vertical="top" wrapText="1"/>
    </xf>
    <xf numFmtId="0" fontId="10" fillId="4" borderId="1" applyAlignment="1" pivotButton="0" quotePrefix="0" xfId="0">
      <alignment horizontal="center" vertical="center" wrapText="1"/>
    </xf>
    <xf numFmtId="0" fontId="8" fillId="0" borderId="1" applyAlignment="1" pivotButton="0" quotePrefix="0" xfId="0">
      <alignment vertical="top" wrapText="1"/>
    </xf>
    <xf numFmtId="0" fontId="4" fillId="7" borderId="0" applyAlignment="1" pivotButton="0" quotePrefix="0" xfId="0">
      <alignment vertical="top" wrapText="1"/>
    </xf>
    <xf numFmtId="0" fontId="11" fillId="4" borderId="1" applyAlignment="1" pivotButton="0" quotePrefix="0" xfId="0">
      <alignment horizontal="center" vertical="center" wrapText="1"/>
    </xf>
    <xf numFmtId="0" fontId="12" fillId="4" borderId="0" applyAlignment="1" pivotButton="0" quotePrefix="0" xfId="0">
      <alignment vertical="top" wrapText="1"/>
    </xf>
    <xf numFmtId="0" fontId="8" fillId="9" borderId="1" applyAlignment="1" pivotButton="0" quotePrefix="0" xfId="0">
      <alignment vertical="top" wrapText="1"/>
    </xf>
    <xf numFmtId="0" fontId="13" fillId="10" borderId="0" applyAlignment="1" pivotButton="0" quotePrefix="0" xfId="0">
      <alignment vertical="top" wrapText="1"/>
    </xf>
    <xf numFmtId="0" fontId="7" fillId="5" borderId="0" applyAlignment="1" pivotButton="0" quotePrefix="0" xfId="0">
      <alignment vertical="center" wrapText="1"/>
    </xf>
    <xf numFmtId="0" fontId="12" fillId="5" borderId="0" applyAlignment="1" pivotButton="0" quotePrefix="0" xfId="0">
      <alignment vertical="top" wrapText="1"/>
    </xf>
    <xf numFmtId="0" fontId="14" fillId="0" borderId="0" applyAlignment="1" pivotButton="0" quotePrefix="0" xfId="0">
      <alignment vertical="top" wrapText="1"/>
    </xf>
    <xf numFmtId="0" fontId="3" fillId="4" borderId="0" applyAlignment="1" pivotButton="0" quotePrefix="0" xfId="0">
      <alignment vertical="top" wrapText="1"/>
    </xf>
    <xf numFmtId="0" fontId="15" fillId="5" borderId="0" applyAlignment="1" pivotButton="0" quotePrefix="0" xfId="0">
      <alignment vertical="top" wrapText="1"/>
    </xf>
    <xf numFmtId="0" fontId="7" fillId="0" borderId="1" applyAlignment="1" pivotButton="0" quotePrefix="0" xfId="0">
      <alignment horizontal="center" vertical="center" wrapText="1"/>
    </xf>
    <xf numFmtId="0" fontId="7" fillId="11" borderId="0" applyAlignment="1" pivotButton="0" quotePrefix="0" xfId="0">
      <alignment vertical="center" wrapText="1"/>
    </xf>
    <xf numFmtId="0" fontId="16" fillId="11" borderId="1" applyAlignment="1" pivotButton="0" quotePrefix="0" xfId="0">
      <alignment horizontal="center" vertical="center" wrapText="1"/>
    </xf>
    <xf numFmtId="0" fontId="17" fillId="11" borderId="1" applyAlignment="1" pivotButton="0" quotePrefix="0" xfId="0">
      <alignment vertical="top" wrapText="1"/>
    </xf>
    <xf numFmtId="0" fontId="16" fillId="8" borderId="1" applyAlignment="1" pivotButton="0" quotePrefix="0" xfId="0">
      <alignment horizontal="center" vertical="center" wrapText="1"/>
    </xf>
    <xf numFmtId="0" fontId="7" fillId="8" borderId="0" applyAlignment="1" pivotButton="0" quotePrefix="0" xfId="0">
      <alignment vertical="center" wrapText="1"/>
    </xf>
    <xf numFmtId="0" fontId="18" fillId="3" borderId="0" applyAlignment="1" pivotButton="0" quotePrefix="0" xfId="0">
      <alignment vertical="top" wrapText="1"/>
    </xf>
    <xf numFmtId="0" fontId="16" fillId="9" borderId="1" applyAlignment="1" pivotButton="0" quotePrefix="0" xfId="0">
      <alignment horizontal="center" vertical="center" wrapText="1"/>
    </xf>
    <xf numFmtId="0" fontId="7" fillId="7"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6"/>
  <sheetViews>
    <sheetView workbookViewId="0">
      <selection activeCell="A1" sqref="A1"/>
    </sheetView>
  </sheetViews>
  <sheetFormatPr baseColWidth="8" defaultRowHeight="15"/>
  <cols>
    <col width="16" customWidth="1" min="1" max="1"/>
    <col width="13" customWidth="1" min="2" max="2"/>
    <col width="13" customWidth="1" min="3" max="3"/>
    <col width="22" customWidth="1" min="4" max="4"/>
    <col width="16" customWidth="1" min="5" max="5"/>
    <col width="16" customWidth="1" min="6" max="6"/>
  </cols>
  <sheetData>
    <row r="1" ht="34" customHeight="1">
      <c r="A1" s="1" t="inlineStr">
        <is>
          <t>「私」を消すもの、「私」を支えるもの　――「素顔同盟」「私」を批判的に読む</t>
        </is>
      </c>
      <c r="B1" s="1" t="n"/>
      <c r="C1" s="1" t="n"/>
      <c r="D1" s="1" t="n"/>
      <c r="E1" s="1" t="n"/>
      <c r="F1" s="1" t="n"/>
    </row>
    <row r="2" ht="26" customHeight="1">
      <c r="A2" s="2" t="n"/>
      <c r="B2" s="3" t="n"/>
      <c r="C2" s="4" t="inlineStr">
        <is>
          <t>名前</t>
        </is>
      </c>
      <c r="D2" s="5" t="n"/>
      <c r="E2" s="5" t="n"/>
      <c r="F2" s="5" t="n"/>
    </row>
    <row r="3">
      <c r="A3" s="6" t="inlineStr">
        <is>
          <t>※ 組・番は半角数字で入力してね（例：3、15）</t>
        </is>
      </c>
      <c r="B3" s="6" t="n"/>
      <c r="C3" s="6" t="n"/>
      <c r="D3" s="6" t="n"/>
      <c r="E3" s="6" t="n"/>
      <c r="F3" s="6" t="n"/>
    </row>
    <row r="5" ht="22" customHeight="1">
      <c r="A5" s="7" t="inlineStr">
        <is>
          <t>■ 単元目標</t>
        </is>
      </c>
      <c r="B5" s="7" t="n"/>
      <c r="C5" s="7" t="n"/>
      <c r="D5" s="7" t="n"/>
      <c r="E5" s="7" t="n"/>
      <c r="F5" s="7" t="n"/>
    </row>
    <row r="6" ht="26" customHeight="1">
      <c r="A6" s="8" t="inlineStr">
        <is>
          <t>カギカッコに入れられた語などの働きに注意して語感を捉えながら、二つの作品を批判的に読み、それぞれの文章に表れているものの見方や考え方について考えて、「私が私であること」についての自分の考えを批評文にまとめることができる。</t>
        </is>
      </c>
      <c r="B6" s="8" t="n"/>
      <c r="C6" s="8" t="n"/>
      <c r="D6" s="8" t="n"/>
      <c r="E6" s="8" t="n"/>
      <c r="F6" s="8" t="n"/>
    </row>
    <row r="7" ht="26" customHeight="1">
      <c r="A7" s="8" t="n"/>
      <c r="B7" s="8" t="n"/>
      <c r="C7" s="8" t="n"/>
      <c r="D7" s="8" t="n"/>
      <c r="E7" s="8" t="n"/>
      <c r="F7" s="8" t="n"/>
    </row>
    <row r="9" ht="22" customHeight="1">
      <c r="A9" s="9" t="inlineStr">
        <is>
          <t>■ この単元でつかう「批判の目」4つ　―― 毎時間これを手もとに置く</t>
        </is>
      </c>
      <c r="B9" s="9" t="n"/>
      <c r="C9" s="9" t="n"/>
      <c r="D9" s="9" t="n"/>
      <c r="E9" s="9" t="n"/>
      <c r="F9" s="9" t="n"/>
    </row>
    <row r="10">
      <c r="A10" s="6" t="inlineStr">
        <is>
          <t>「批判的に読む」＝作品にけちをつけることではない。鵜呑みにせず、根拠を確かめて吟味すること。</t>
        </is>
      </c>
      <c r="B10" s="6" t="n"/>
      <c r="C10" s="6" t="n"/>
      <c r="D10" s="6" t="n"/>
      <c r="E10" s="6" t="n"/>
      <c r="F10" s="6" t="n"/>
    </row>
    <row r="11" ht="24" customHeight="1">
      <c r="A11" s="10" t="inlineStr">
        <is>
          <t>① 誰の目で語られているか</t>
        </is>
      </c>
      <c r="B11" s="10" t="n"/>
      <c r="C11" s="11" t="inlineStr">
        <is>
          <t>語り手には何が見えていて、何が見えていないか</t>
        </is>
      </c>
      <c r="D11" s="11" t="n"/>
      <c r="E11" s="11" t="n"/>
      <c r="F11" s="11" t="n"/>
    </row>
    <row r="12" ht="24" customHeight="1">
      <c r="A12" s="10" t="inlineStr">
        <is>
          <t>② 何が当たり前として書かれていないか</t>
        </is>
      </c>
      <c r="B12" s="10" t="n"/>
      <c r="C12" s="11" t="inlineStr">
        <is>
          <t>疑われないまま置かれている前提は何か</t>
        </is>
      </c>
      <c r="D12" s="11" t="n"/>
      <c r="E12" s="11" t="n"/>
      <c r="F12" s="11" t="n"/>
    </row>
    <row r="13" ht="24" customHeight="1">
      <c r="A13" s="10" t="inlineStr">
        <is>
          <t>③ 何と何が対立させられているか</t>
        </is>
      </c>
      <c r="B13" s="10" t="n"/>
      <c r="C13" s="11" t="inlineStr">
        <is>
          <t>その対立は本当に対立か。作者が作った枠ではないか</t>
        </is>
      </c>
      <c r="D13" s="11" t="n"/>
      <c r="E13" s="11" t="n"/>
      <c r="F13" s="11" t="n"/>
    </row>
    <row r="14" ht="24" customHeight="1">
      <c r="A14" s="10" t="inlineStr">
        <is>
          <t>④ 結末は何を肯定し、何を問い残したか</t>
        </is>
      </c>
      <c r="B14" s="10" t="n"/>
      <c r="C14" s="11" t="inlineStr">
        <is>
          <t>言葉（「同盟」「模範」「正常」）はどんな価値づけを運んでいるか</t>
        </is>
      </c>
      <c r="D14" s="11" t="n"/>
      <c r="E14" s="11" t="n"/>
      <c r="F14" s="11" t="n"/>
    </row>
    <row r="16" ht="22" customHeight="1">
      <c r="A16" s="9" t="inlineStr">
        <is>
          <t>■ 授業の流れ（全7時間）</t>
        </is>
      </c>
      <c r="B16" s="9" t="n"/>
      <c r="C16" s="9" t="n"/>
      <c r="D16" s="9" t="n"/>
      <c r="E16" s="9" t="n"/>
      <c r="F16" s="9" t="n"/>
    </row>
    <row r="17">
      <c r="A17" s="12" t="inlineStr">
        <is>
          <t>時</t>
        </is>
      </c>
      <c r="B17" s="12" t="inlineStr">
        <is>
          <t>学習内容</t>
        </is>
      </c>
      <c r="C17" s="12" t="n"/>
      <c r="D17" s="12" t="inlineStr">
        <is>
          <t>あなたがやること</t>
        </is>
      </c>
      <c r="E17" s="12" t="n"/>
      <c r="F17" s="12" t="n"/>
    </row>
    <row r="18" ht="30" customHeight="1">
      <c r="A18" s="4" t="inlineStr">
        <is>
          <t>1</t>
        </is>
      </c>
      <c r="B18" s="11" t="inlineStr">
        <is>
          <t>単元開き／「素顔同盟」を読む</t>
        </is>
      </c>
      <c r="C18" s="11" t="n"/>
      <c r="D18" s="11" t="inlineStr">
        <is>
          <t>「批判の目」4つを受け取る。初発の感想を一文で書く</t>
        </is>
      </c>
      <c r="E18" s="11" t="n"/>
      <c r="F18" s="11" t="n"/>
    </row>
    <row r="19" ht="30" customHeight="1">
      <c r="A19" s="4" t="inlineStr">
        <is>
          <t>2</t>
        </is>
      </c>
      <c r="B19" s="11" t="inlineStr">
        <is>
          <t>「素顔同盟」を吟味する</t>
        </is>
      </c>
      <c r="C19" s="11" t="n"/>
      <c r="D19" s="11" t="inlineStr">
        <is>
          <t>先生の主張の“擁護の根拠”を先に3つ探す→反論3つ／宿題：「私」を読む</t>
        </is>
      </c>
      <c r="E19" s="11" t="n"/>
      <c r="F19" s="11" t="n"/>
    </row>
    <row r="20" ht="30" customHeight="1">
      <c r="A20" s="4" t="inlineStr">
        <is>
          <t>3</t>
        </is>
      </c>
      <c r="B20" s="11" t="inlineStr">
        <is>
          <t>「私」の語りを分析する</t>
        </is>
      </c>
      <c r="C20" s="11" t="n"/>
      <c r="D20" s="11" t="inlineStr">
        <is>
          <t>カギカッコ付きの語を全部丸で囲む→【発問①】を書く</t>
        </is>
      </c>
      <c r="E20" s="11" t="n"/>
      <c r="F20" s="11" t="n"/>
    </row>
    <row r="21" ht="30" customHeight="1">
      <c r="A21" s="4" t="inlineStr">
        <is>
          <t>4</t>
        </is>
      </c>
      <c r="B21" s="11" t="inlineStr">
        <is>
          <t>「私」の結末を吟味する／協議の準備</t>
        </is>
      </c>
      <c r="C21" s="11" t="n"/>
      <c r="D21" s="11" t="inlineStr">
        <is>
          <t>二作比較表→【発問②】を書く→論題を選び提案メモを作る</t>
        </is>
      </c>
      <c r="E21" s="11" t="n"/>
      <c r="F21" s="11" t="n"/>
    </row>
    <row r="22" ht="30" customHeight="1">
      <c r="A22" s="4" t="inlineStr">
        <is>
          <t>5</t>
        </is>
      </c>
      <c r="B22" s="11" t="inlineStr">
        <is>
          <t>グループ協議①（論題①②③）</t>
        </is>
      </c>
      <c r="C22" s="11" t="n"/>
      <c r="D22" s="11" t="inlineStr">
        <is>
          <t>10分×3ラウンド。自分の回で提案者をつとめる</t>
        </is>
      </c>
      <c r="E22" s="11" t="n"/>
      <c r="F22" s="11" t="n"/>
    </row>
    <row r="23" ht="30" customHeight="1">
      <c r="A23" s="4" t="inlineStr">
        <is>
          <t>6</t>
        </is>
      </c>
      <c r="B23" s="11" t="inlineStr">
        <is>
          <t>グループ協議②（論題④⑤⑥）</t>
        </is>
      </c>
      <c r="C23" s="11" t="n"/>
      <c r="D23" s="11" t="inlineStr">
        <is>
          <t>10分×3ラウンド。役割を交代しながら</t>
        </is>
      </c>
      <c r="E23" s="11" t="n"/>
      <c r="F23" s="11" t="n"/>
    </row>
    <row r="24" ht="30" customHeight="1">
      <c r="A24" s="4" t="inlineStr">
        <is>
          <t>7</t>
        </is>
      </c>
      <c r="B24" s="11" t="inlineStr">
        <is>
          <t>代表者パネル協議／まとめ</t>
        </is>
      </c>
      <c r="C24" s="11" t="n"/>
      <c r="D24" s="11" t="inlineStr">
        <is>
          <t>フロア記録→批評文の「主張の一段落」200字を書き切る</t>
        </is>
      </c>
      <c r="E24" s="11" t="n"/>
      <c r="F24" s="11" t="n"/>
    </row>
    <row r="26" ht="22" customHeight="1">
      <c r="A26" s="9" t="inlineStr">
        <is>
          <t>■ 協議の進め方　1ラウンド10分の中身</t>
        </is>
      </c>
      <c r="B26" s="9" t="n"/>
      <c r="C26" s="9" t="n"/>
      <c r="D26" s="9" t="n"/>
      <c r="E26" s="9" t="n"/>
      <c r="F26" s="9" t="n"/>
    </row>
    <row r="27" ht="24" customHeight="1">
      <c r="A27" s="4" t="inlineStr">
        <is>
          <t>0:00〜2:00</t>
        </is>
      </c>
      <c r="B27" s="4" t="n"/>
      <c r="C27" s="11" t="inlineStr">
        <is>
          <t>提案者が提案メモを読む（主張1文＋本文の根拠2か所）</t>
        </is>
      </c>
      <c r="D27" s="11" t="n"/>
      <c r="E27" s="11" t="n"/>
      <c r="F27" s="11" t="n"/>
    </row>
    <row r="28" ht="24" customHeight="1">
      <c r="A28" s="4" t="inlineStr">
        <is>
          <t>2:00〜8:00</t>
        </is>
      </c>
      <c r="B28" s="4" t="n"/>
      <c r="C28" s="11" t="inlineStr">
        <is>
          <t>検討。提案者以外は全員、質問か反論を1回以上する</t>
        </is>
      </c>
      <c r="D28" s="11" t="n"/>
      <c r="E28" s="11" t="n"/>
      <c r="F28" s="11" t="n"/>
    </row>
    <row r="29" ht="24" customHeight="1">
      <c r="A29" s="4" t="inlineStr">
        <is>
          <t>8:00〜10:00</t>
        </is>
      </c>
      <c r="B29" s="4" t="n"/>
      <c r="C29" s="11" t="inlineStr">
        <is>
          <t>提案者が答える。議論の到達点を1文で言う。記録係が書き取る</t>
        </is>
      </c>
      <c r="D29" s="11" t="n"/>
      <c r="E29" s="11" t="n"/>
      <c r="F29" s="11" t="n"/>
    </row>
    <row r="31" ht="22" customHeight="1">
      <c r="A31" s="9" t="inlineStr">
        <is>
          <t>■ 常設の3役割　―― 毎ラウンド、時計回りに交代する</t>
        </is>
      </c>
      <c r="B31" s="9" t="n"/>
      <c r="C31" s="9" t="n"/>
      <c r="D31" s="9" t="n"/>
      <c r="E31" s="9" t="n"/>
      <c r="F31" s="9" t="n"/>
    </row>
    <row r="32" ht="24" customHeight="1">
      <c r="A32" s="13" t="inlineStr">
        <is>
          <t>引用チェック係</t>
        </is>
      </c>
      <c r="B32" s="13" t="n"/>
      <c r="C32" s="11" t="inlineStr">
        <is>
          <t>「今の意見、本文のどこ？」と必ず1回きく</t>
        </is>
      </c>
      <c r="D32" s="11" t="n"/>
      <c r="E32" s="11" t="n"/>
      <c r="F32" s="11" t="n"/>
    </row>
    <row r="33" ht="24" customHeight="1">
      <c r="A33" s="13" t="inlineStr">
        <is>
          <t>疑い係</t>
        </is>
      </c>
      <c r="B33" s="13" t="n"/>
      <c r="C33" s="11" t="inlineStr">
        <is>
          <t>「しかし」「とはいえ」で始まる発言を必ず1回する（賛成でも反対でもよい）</t>
        </is>
      </c>
      <c r="D33" s="11" t="n"/>
      <c r="E33" s="11" t="n"/>
      <c r="F33" s="11" t="n"/>
    </row>
    <row r="34" ht="24" customHeight="1">
      <c r="A34" s="13" t="inlineStr">
        <is>
          <t>記録係</t>
        </is>
      </c>
      <c r="B34" s="13" t="n"/>
      <c r="C34" s="11" t="inlineStr">
        <is>
          <t>提案者の主張と、議論の到達点を1行ずつ書く</t>
        </is>
      </c>
      <c r="D34" s="11" t="n"/>
      <c r="E34" s="11" t="n"/>
      <c r="F34" s="11" t="n"/>
    </row>
    <row r="36" ht="22" customHeight="1">
      <c r="A36" s="9" t="inlineStr">
        <is>
          <t>■ 協議の論題（6本）　―― 自分が提案者になる論題を1つ選ぶ</t>
        </is>
      </c>
      <c r="B36" s="9" t="n"/>
      <c r="C36" s="9" t="n"/>
      <c r="D36" s="9" t="n"/>
      <c r="E36" s="9" t="n"/>
      <c r="F36" s="9" t="n"/>
    </row>
    <row r="37" ht="24" customHeight="1">
      <c r="A37" s="4" t="inlineStr">
        <is>
          <t>①</t>
        </is>
      </c>
      <c r="B37" s="11" t="inlineStr">
        <is>
          <t>「素顔同盟」の先生の主張はまちがっているか</t>
        </is>
      </c>
      <c r="C37" s="11" t="n"/>
      <c r="D37" s="11" t="n"/>
      <c r="E37" s="11" t="n"/>
      <c r="F37" s="14" t="inlineStr">
        <is>
          <t>第5時</t>
        </is>
      </c>
    </row>
    <row r="38" ht="24" customHeight="1">
      <c r="A38" s="4" t="inlineStr">
        <is>
          <t>②</t>
        </is>
      </c>
      <c r="B38" s="11" t="inlineStr">
        <is>
          <t>「僕」は川を上流へ歩いて自由になれるか。「同盟」という題名は何を暗示するか</t>
        </is>
      </c>
      <c r="C38" s="11" t="n"/>
      <c r="D38" s="11" t="n"/>
      <c r="E38" s="11" t="n"/>
      <c r="F38" s="14" t="inlineStr">
        <is>
          <t>第5時</t>
        </is>
      </c>
    </row>
    <row r="39" ht="24" customHeight="1">
      <c r="A39" s="4" t="inlineStr">
        <is>
          <t>③</t>
        </is>
      </c>
      <c r="B39" s="11" t="inlineStr">
        <is>
          <t>「私」の語り手は良い職員か</t>
        </is>
      </c>
      <c r="C39" s="11" t="n"/>
      <c r="D39" s="11" t="n"/>
      <c r="E39" s="11" t="n"/>
      <c r="F39" s="14" t="inlineStr">
        <is>
          <t>第5時</t>
        </is>
      </c>
    </row>
    <row r="40" ht="24" customHeight="1">
      <c r="A40" s="4" t="inlineStr">
        <is>
          <t>④</t>
        </is>
      </c>
      <c r="B40" s="11" t="inlineStr">
        <is>
          <t>「何の問題もない」への不安の正体は何か。語り手は何に気づいていないか</t>
        </is>
      </c>
      <c r="C40" s="11" t="n"/>
      <c r="D40" s="11" t="n"/>
      <c r="E40" s="11" t="n"/>
      <c r="F40" s="14" t="inlineStr">
        <is>
          <t>第6時</t>
        </is>
      </c>
    </row>
    <row r="41" ht="24" customHeight="1">
      <c r="A41" s="4" t="inlineStr">
        <is>
          <t>⑤</t>
        </is>
      </c>
      <c r="B41" s="11" t="inlineStr">
        <is>
          <t>社会の見方として、より怖いのはどちらの作品か</t>
        </is>
      </c>
      <c r="C41" s="11" t="n"/>
      <c r="D41" s="11" t="n"/>
      <c r="E41" s="11" t="n"/>
      <c r="F41" s="14" t="inlineStr">
        <is>
          <t>第6時</t>
        </is>
      </c>
    </row>
    <row r="42" ht="24" customHeight="1">
      <c r="A42" s="4" t="inlineStr">
        <is>
          <t>⑥</t>
        </is>
      </c>
      <c r="B42" s="11" t="inlineStr">
        <is>
          <t>「私が私であること」を支えるのは何か（＝批評文の主題）</t>
        </is>
      </c>
      <c r="C42" s="11" t="n"/>
      <c r="D42" s="11" t="n"/>
      <c r="E42" s="11" t="n"/>
      <c r="F42" s="14" t="inlineStr">
        <is>
          <t>第6時</t>
        </is>
      </c>
    </row>
    <row r="44" ht="22" customHeight="1">
      <c r="A44" s="9" t="inlineStr">
        <is>
          <t>■ 代表者パネル協議（第7時）　12分×2回</t>
        </is>
      </c>
      <c r="B44" s="9" t="n"/>
      <c r="C44" s="9" t="n"/>
      <c r="D44" s="9" t="n"/>
      <c r="E44" s="9" t="n"/>
      <c r="F44" s="9" t="n"/>
    </row>
    <row r="45" ht="24" customHeight="1">
      <c r="A45" s="4" t="inlineStr">
        <is>
          <t>パネル①</t>
        </is>
      </c>
      <c r="B45" s="4" t="n"/>
      <c r="C45" s="11" t="inlineStr">
        <is>
          <t>「私」の語り手は信頼できるか　―― 前半の班から各1名</t>
        </is>
      </c>
      <c r="D45" s="11" t="n"/>
      <c r="E45" s="11" t="n"/>
      <c r="F45" s="11" t="n"/>
    </row>
    <row r="46" ht="24" customHeight="1">
      <c r="A46" s="4" t="inlineStr">
        <is>
          <t>パネル②</t>
        </is>
      </c>
      <c r="B46" s="4" t="n"/>
      <c r="C46" s="11" t="inlineStr">
        <is>
          <t>「私」が「私」であることを支えるのは何か　―― 後半の班から各1名</t>
        </is>
      </c>
      <c r="D46" s="11" t="n"/>
      <c r="E46" s="11" t="n"/>
      <c r="F46" s="11" t="n"/>
    </row>
    <row r="47" ht="26" customHeight="1">
      <c r="A47" s="6" t="inlineStr">
        <is>
          <t>★ フロアの人も仕事がある：「自分の考えが動いた発言」を1つ、フロア記録シートに書く。これが批評文の条件③の材料になる。</t>
        </is>
      </c>
      <c r="B47" s="6" t="n"/>
      <c r="C47" s="6" t="n"/>
      <c r="D47" s="6" t="n"/>
      <c r="E47" s="6" t="n"/>
      <c r="F47" s="6" t="n"/>
    </row>
    <row r="49" ht="22" customHeight="1">
      <c r="A49" s="9" t="inlineStr">
        <is>
          <t>■ 班の人数別　ラウンド割り振り調整表</t>
        </is>
      </c>
      <c r="B49" s="9" t="n"/>
      <c r="C49" s="9" t="n"/>
      <c r="D49" s="9" t="n"/>
      <c r="E49" s="9" t="n"/>
      <c r="F49" s="9" t="n"/>
    </row>
    <row r="50" ht="24" customHeight="1">
      <c r="A50" s="4" t="inlineStr">
        <is>
          <t>6人</t>
        </is>
      </c>
      <c r="B50" s="11" t="inlineStr">
        <is>
          <t>1人1回、ぴったり</t>
        </is>
      </c>
      <c r="C50" s="11" t="n"/>
      <c r="D50" s="11" t="n"/>
      <c r="E50" s="11" t="n"/>
      <c r="F50" s="11" t="n"/>
    </row>
    <row r="51" ht="24" customHeight="1">
      <c r="A51" s="4" t="inlineStr">
        <is>
          <t>5人</t>
        </is>
      </c>
      <c r="B51" s="11" t="inlineStr">
        <is>
          <t>第6時の3ラウンド目（論題⑥）を2名の共同提案にする</t>
        </is>
      </c>
      <c r="C51" s="11" t="n"/>
      <c r="D51" s="11" t="n"/>
      <c r="E51" s="11" t="n"/>
      <c r="F51" s="11" t="n"/>
    </row>
    <row r="52" ht="24" customHeight="1">
      <c r="A52" s="4" t="inlineStr">
        <is>
          <t>4人</t>
        </is>
      </c>
      <c r="B52" s="11" t="inlineStr">
        <is>
          <t>論題を①③⑤⑥の4本に絞り、余った2ラウンドを「①と③の再検討」「⑥の練り直し」に充てる</t>
        </is>
      </c>
      <c r="C52" s="11" t="n"/>
      <c r="D52" s="11" t="n"/>
      <c r="E52" s="11" t="n"/>
      <c r="F52" s="11" t="n"/>
    </row>
    <row r="53" ht="24" customHeight="1">
      <c r="A53" s="4" t="inlineStr">
        <is>
          <t>7人</t>
        </is>
      </c>
      <c r="B53" s="11" t="inlineStr">
        <is>
          <t>論題②と⑥を各2名の共同提案にする</t>
        </is>
      </c>
      <c r="C53" s="11" t="n"/>
      <c r="D53" s="11" t="n"/>
      <c r="E53" s="11" t="n"/>
      <c r="F53" s="11" t="n"/>
    </row>
    <row r="55" ht="22" customHeight="1">
      <c r="A55" s="9" t="inlineStr">
        <is>
          <t>■ 「読みの観点」との対応（国語科の系統表につながります）</t>
        </is>
      </c>
      <c r="B55" s="9" t="n"/>
      <c r="C55" s="9" t="n"/>
      <c r="D55" s="9" t="n"/>
      <c r="E55" s="9" t="n"/>
      <c r="F55" s="9" t="n"/>
    </row>
    <row r="56" ht="24" customHeight="1">
      <c r="A56" s="15" t="inlineStr">
        <is>
          <t>中心になる観点：第1層「視点・語り」／第3層「批評・評価」　　めざす深さ：3（自分の考えをもつ）</t>
        </is>
      </c>
      <c r="B56" s="15" t="n"/>
      <c r="C56" s="15" t="n"/>
      <c r="D56" s="15" t="n"/>
      <c r="E56" s="15" t="n"/>
      <c r="F56" s="15" t="n"/>
    </row>
  </sheetData>
  <mergeCells count="66">
    <mergeCell ref="D2:F2"/>
    <mergeCell ref="A16:F16"/>
    <mergeCell ref="B40:E40"/>
    <mergeCell ref="A11:B11"/>
    <mergeCell ref="A45:B45"/>
    <mergeCell ref="B22:C22"/>
    <mergeCell ref="D17:F17"/>
    <mergeCell ref="A56:F56"/>
    <mergeCell ref="C32:F32"/>
    <mergeCell ref="A3:F3"/>
    <mergeCell ref="B18:C18"/>
    <mergeCell ref="A26:F26"/>
    <mergeCell ref="A55:F55"/>
    <mergeCell ref="C28:F28"/>
    <mergeCell ref="B52:F52"/>
    <mergeCell ref="C13:F13"/>
    <mergeCell ref="B21:C21"/>
    <mergeCell ref="B41:E41"/>
    <mergeCell ref="A47:F47"/>
    <mergeCell ref="A5:F5"/>
    <mergeCell ref="C34:F34"/>
    <mergeCell ref="D18:F18"/>
    <mergeCell ref="B23:C23"/>
    <mergeCell ref="A46:B46"/>
    <mergeCell ref="C33:F33"/>
    <mergeCell ref="B17:C17"/>
    <mergeCell ref="A27:B27"/>
    <mergeCell ref="C14:F14"/>
    <mergeCell ref="A12:B12"/>
    <mergeCell ref="D24:F24"/>
    <mergeCell ref="B53:F53"/>
    <mergeCell ref="A10:F10"/>
    <mergeCell ref="C45:F45"/>
    <mergeCell ref="A6:F7"/>
    <mergeCell ref="D23:F23"/>
    <mergeCell ref="A44:F44"/>
    <mergeCell ref="B19:C19"/>
    <mergeCell ref="C27:F27"/>
    <mergeCell ref="A33:B33"/>
    <mergeCell ref="A9:F9"/>
    <mergeCell ref="C29:F29"/>
    <mergeCell ref="A31:F31"/>
    <mergeCell ref="A32:B32"/>
    <mergeCell ref="A14:B14"/>
    <mergeCell ref="B39:E39"/>
    <mergeCell ref="D20:F20"/>
    <mergeCell ref="B42:E42"/>
    <mergeCell ref="A49:F49"/>
    <mergeCell ref="D19:F19"/>
    <mergeCell ref="B24:C24"/>
    <mergeCell ref="A29:B29"/>
    <mergeCell ref="A36:F36"/>
    <mergeCell ref="A1:F1"/>
    <mergeCell ref="C12:F12"/>
    <mergeCell ref="B20:C20"/>
    <mergeCell ref="D22:F22"/>
    <mergeCell ref="A28:B28"/>
    <mergeCell ref="B38:E38"/>
    <mergeCell ref="A13:B13"/>
    <mergeCell ref="C46:F46"/>
    <mergeCell ref="B51:F51"/>
    <mergeCell ref="C11:F11"/>
    <mergeCell ref="B37:E37"/>
    <mergeCell ref="D21:F21"/>
    <mergeCell ref="B50:F50"/>
    <mergeCell ref="A34:B34"/>
  </mergeCells>
  <dataValidations count="2">
    <dataValidation sqref="A2" showDropDown="0" showInputMessage="0" showErrorMessage="1" allowBlank="1" errorTitle="組" error="1〜20の半角数字で入力してね" type="whole" operator="between">
      <formula1>1</formula1>
      <formula2>20</formula2>
    </dataValidation>
    <dataValidation sqref="B2" showDropDown="0" showInputMessage="0" showErrorMessage="1" allowBlank="1" errorTitle="番" error="1〜50の半角数字で入力してね" type="whole" operator="between">
      <formula1>1</formula1>
      <formula2>50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4" customWidth="1" min="2" max="2"/>
    <col width="62" customWidth="1" min="3" max="3"/>
    <col width="18" customWidth="1" min="4" max="4"/>
  </cols>
  <sheetData>
    <row r="1" ht="30" customHeight="1">
      <c r="A1" s="1" t="inlineStr">
        <is>
          <t>評価基準（ルーブリック）</t>
        </is>
      </c>
      <c r="B1" s="1" t="n"/>
      <c r="C1" s="1" t="n"/>
      <c r="D1" s="1" t="n"/>
    </row>
    <row r="2" ht="44" customHeight="1">
      <c r="A2" s="16" t="inlineStr">
        <is>
          <t>■ 単元目標：カギカッコに入れられた語などの働きに注意して語感を捉えながら、二つの作品を批判的に読み、それぞれの文章に表れているものの見方や考え方について考えて、「私が私であること」についての自分の考えを批評文にまとめることができる。</t>
        </is>
      </c>
      <c r="B2" s="16" t="n"/>
      <c r="C2" s="16" t="n"/>
      <c r="D2" s="16" t="n"/>
    </row>
    <row r="4" ht="22" customHeight="1">
      <c r="A4" s="7" t="inlineStr">
        <is>
          <t>【知識・技能】(1)イ　語感を磨き語彙を豊かにする　／　評価するもの：発問①</t>
        </is>
      </c>
      <c r="B4" s="7" t="n"/>
      <c r="C4" s="7" t="n"/>
      <c r="D4" s="7" t="n"/>
    </row>
    <row r="5">
      <c r="A5" s="12" t="inlineStr">
        <is>
          <t>段階</t>
        </is>
      </c>
      <c r="B5" s="12" t="inlineStr">
        <is>
          <t>基準</t>
        </is>
      </c>
      <c r="C5" s="12" t="n"/>
      <c r="D5" s="12" t="n"/>
    </row>
    <row r="6" ht="46" customHeight="1">
      <c r="A6" s="17" t="inlineStr">
        <is>
          <t>A</t>
        </is>
      </c>
      <c r="B6" s="18" t="inlineStr">
        <is>
          <t>選んだカギカッコ付きの語の働きを、語り手の立場（制度を運用する側であること）と結びつけて説明し、自分の経験と対応させて言いかえている。例：「解決」とは相手が満足することであって、問題が解決することではない、と語り手自身が知っている</t>
        </is>
      </c>
      <c r="C6" s="18" t="n"/>
      <c r="D6" s="18" t="n"/>
    </row>
    <row r="7" ht="30" customHeight="1">
      <c r="A7" s="17" t="inlineStr">
        <is>
          <t>B</t>
        </is>
      </c>
      <c r="B7" s="18" t="inlineStr">
        <is>
          <t>その語が「言葉だけは立派で中身が空である」ことを示していると説明し、自分の経験を挙げている</t>
        </is>
      </c>
      <c r="C7" s="18" t="n"/>
      <c r="D7" s="18" t="n"/>
    </row>
    <row r="8" ht="30" customHeight="1">
      <c r="A8" s="17" t="inlineStr">
        <is>
          <t>C</t>
        </is>
      </c>
      <c r="B8" s="18" t="inlineStr">
        <is>
          <t>語を挙げるだけ、または経験を挙げるだけで、カギカッコの働きを説明できていない</t>
        </is>
      </c>
      <c r="C8" s="18" t="n"/>
      <c r="D8" s="18" t="n"/>
    </row>
    <row r="10" ht="22" customHeight="1">
      <c r="A10" s="7" t="inlineStr">
        <is>
          <t>【思考・判断・表現】C 読むこと(1)イ　文章を批判的に読む　／　評価するもの：批評文（総括）</t>
        </is>
      </c>
      <c r="B10" s="7" t="n"/>
      <c r="C10" s="7" t="n"/>
      <c r="D10" s="7" t="n"/>
    </row>
    <row r="11" ht="32" customHeight="1">
      <c r="A11" s="19" t="inlineStr">
        <is>
          <t>★★ B と A の分かれ目 ★★　　条件①（両作品からの引用）と条件②（「しかし／とはいえ」の疑いの一文）の【両方】に触れていなければ、A以上にはならない。</t>
        </is>
      </c>
      <c r="B11" s="19" t="n"/>
      <c r="C11" s="19" t="n"/>
      <c r="D11" s="19" t="n"/>
    </row>
    <row r="12">
      <c r="A12" s="12" t="inlineStr">
        <is>
          <t>段階</t>
        </is>
      </c>
      <c r="B12" s="12" t="inlineStr">
        <is>
          <t>基準</t>
        </is>
      </c>
      <c r="C12" s="12" t="n"/>
      <c r="D12" s="12" t="n"/>
    </row>
    <row r="13" ht="54" customHeight="1">
      <c r="A13" s="17" t="inlineStr">
        <is>
          <t>S</t>
        </is>
      </c>
      <c r="B13" s="18" t="inlineStr">
        <is>
          <t>条件①②を満たし、さらに協議で自分の考えが動いた地点を示して自分の生活・社会と結んでいる。加えて、自分の評価の前提や限界にも触れている（例：私は最初、僕に共感していた。しかしそれは、僕が私たちと同じ側にいるように書かれていたからだ）</t>
        </is>
      </c>
      <c r="C13" s="18" t="n"/>
      <c r="D13" s="18" t="n"/>
    </row>
    <row r="14" ht="42" customHeight="1">
      <c r="A14" s="17" t="inlineStr">
        <is>
          <t>A</t>
        </is>
      </c>
      <c r="B14" s="18" t="inlineStr">
        <is>
          <t>条件①②の【両方】を満たしている。両作品から引用し、それぞれの見方のちがいを捉え、少なくとも一方の見方に「しかし／とはいえ」で疑いを差しはさんでいる</t>
        </is>
      </c>
      <c r="C14" s="18" t="n"/>
      <c r="D14" s="18" t="n"/>
    </row>
    <row r="15" ht="34" customHeight="1">
      <c r="A15" s="17" t="inlineStr">
        <is>
          <t>B</t>
        </is>
      </c>
      <c r="B15" s="18" t="inlineStr">
        <is>
          <t>条件①②の【どちらか一方のみ】。両作品を引用しているが疑いがない、または疑いはあるが引用が一方の作品にしかない</t>
        </is>
      </c>
      <c r="C15" s="18" t="n"/>
      <c r="D15" s="18" t="n"/>
    </row>
    <row r="16" ht="24" customHeight="1">
      <c r="A16" s="20" t="inlineStr">
        <is>
          <t>C</t>
        </is>
      </c>
      <c r="B16" s="18" t="inlineStr">
        <is>
          <t>両作品に触れているが、引用も疑いもなく、あらすじや感想が中心</t>
        </is>
      </c>
      <c r="C16" s="18" t="n"/>
      <c r="D16" s="18" t="n"/>
    </row>
    <row r="17" ht="24" customHeight="1">
      <c r="A17" s="20" t="inlineStr">
        <is>
          <t>D</t>
        </is>
      </c>
      <c r="B17" s="18" t="inlineStr">
        <is>
          <t>一方の作品にしか触れていない、または未完</t>
        </is>
      </c>
      <c r="C17" s="18" t="n"/>
      <c r="D17" s="18" t="n"/>
    </row>
    <row r="19" ht="22" customHeight="1">
      <c r="A19" s="7" t="inlineStr">
        <is>
          <t>【主体的に学習に取り組む態度】／　評価するもの：提案メモ・記録係シート・フロア記録シート</t>
        </is>
      </c>
      <c r="B19" s="7" t="n"/>
      <c r="C19" s="7" t="n"/>
      <c r="D19" s="7" t="n"/>
    </row>
    <row r="20">
      <c r="A20" s="12" t="inlineStr">
        <is>
          <t>段階</t>
        </is>
      </c>
      <c r="B20" s="12" t="inlineStr">
        <is>
          <t>基準</t>
        </is>
      </c>
      <c r="C20" s="12" t="n"/>
      <c r="D20" s="12" t="n"/>
    </row>
    <row r="21" ht="30" customHeight="1">
      <c r="A21" s="17" t="inlineStr">
        <is>
          <t>A</t>
        </is>
      </c>
      <c r="B21" s="18" t="inlineStr">
        <is>
          <t>提案者として本文の根拠を示して自分の読みを述べ、他者の異なる読みを受けて自分の考えを述べ直している</t>
        </is>
      </c>
      <c r="C21" s="18" t="n"/>
      <c r="D21" s="18" t="n"/>
    </row>
    <row r="22" ht="30" customHeight="1">
      <c r="A22" s="17" t="inlineStr">
        <is>
          <t>B</t>
        </is>
      </c>
      <c r="B22" s="18" t="inlineStr">
        <is>
          <t>提案者の役割を果たし、他のラウンドでも質問か反論を述べている</t>
        </is>
      </c>
      <c r="C22" s="18" t="n"/>
      <c r="D22" s="18" t="n"/>
    </row>
    <row r="23" ht="30" customHeight="1">
      <c r="A23" s="17" t="inlineStr">
        <is>
          <t>C</t>
        </is>
      </c>
      <c r="B23" s="18" t="inlineStr">
        <is>
          <t>提案メモが未記入、または協議で発言していない</t>
        </is>
      </c>
      <c r="C23" s="18" t="n"/>
      <c r="D23" s="18" t="n"/>
    </row>
  </sheetData>
  <mergeCells count="20">
    <mergeCell ref="B14:D14"/>
    <mergeCell ref="B23:D23"/>
    <mergeCell ref="A4:D4"/>
    <mergeCell ref="B8:D8"/>
    <mergeCell ref="B17:D17"/>
    <mergeCell ref="B13:D13"/>
    <mergeCell ref="A19:D19"/>
    <mergeCell ref="A10:D10"/>
    <mergeCell ref="A11:D11"/>
    <mergeCell ref="B15:D15"/>
    <mergeCell ref="B6:D6"/>
    <mergeCell ref="B20:D20"/>
    <mergeCell ref="A1:D1"/>
    <mergeCell ref="B5:D5"/>
    <mergeCell ref="B7:D7"/>
    <mergeCell ref="B16:D16"/>
    <mergeCell ref="B22:D22"/>
    <mergeCell ref="B21:D21"/>
    <mergeCell ref="A2:D2"/>
    <mergeCell ref="B12:D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
  <sheetViews>
    <sheetView workbookViewId="0">
      <selection activeCell="A1" sqref="A1"/>
    </sheetView>
  </sheetViews>
  <sheetFormatPr baseColWidth="8" defaultRowHeight="15"/>
  <cols>
    <col width="34" customWidth="1" min="1" max="1"/>
    <col width="34" customWidth="1" min="2" max="2"/>
    <col width="34" customWidth="1" min="3" max="3"/>
    <col width="14" customWidth="1" min="4" max="4"/>
  </cols>
  <sheetData>
    <row r="1" ht="30" customHeight="1">
      <c r="A1" s="1" t="inlineStr">
        <is>
          <t>発問・回答シート</t>
        </is>
      </c>
      <c r="B1" s="1" t="n"/>
      <c r="C1" s="1" t="n"/>
      <c r="D1" s="1" t="n"/>
    </row>
    <row r="2" ht="44" customHeight="1">
      <c r="A2" s="16" t="inlineStr">
        <is>
          <t>■ 単元目標：カギカッコに入れられた語などの働きに注意して語感を捉えながら、二つの作品を批判的に読み、それぞれの文章に表れているものの見方や考え方について考えて、「私が私であること」についての自分の考えを批評文にまとめることができる。</t>
        </is>
      </c>
      <c r="B2" s="16" t="n"/>
      <c r="C2" s="16" t="n"/>
      <c r="D2" s="16" t="n"/>
    </row>
    <row r="4" ht="22" customHeight="1">
      <c r="A4" s="9" t="inlineStr">
        <is>
          <t>■ 発問（第3時・第4時）　―― まず自分で書く。書いてから、AIに見せる</t>
        </is>
      </c>
      <c r="B4" s="9" t="n"/>
      <c r="C4" s="9" t="n"/>
      <c r="D4" s="9" t="n"/>
    </row>
    <row r="5" ht="78" customHeight="1">
      <c r="A5" s="21" t="inlineStr">
        <is>
          <t>【発問①／知識・技能】　150〜200字
「私」の語り手は、「解決」「誠意」「対応」「模範的」「正常な状態」のように、大事な言葉をわざわざカギカッコに入れて使う。この中から一つ選び、あなた自身が「言葉だけは立派なのに中身がない」と感じた経験を一つ挙げたうえで、語り手がその言葉をカギカッコに入れて使うのはなぜか、自分の言葉で説明しよう。</t>
        </is>
      </c>
      <c r="B5" s="21" t="n"/>
      <c r="C5" s="21" t="n"/>
      <c r="D5" s="21" t="n"/>
    </row>
    <row r="6" ht="108" customHeight="1">
      <c r="A6" s="22" t="n"/>
      <c r="B6" s="22" t="n"/>
      <c r="C6" s="22" t="n"/>
      <c r="D6" s="14">
        <f>IF(A6="","0/200字",LEN(A6)&amp;"/200字")</f>
        <v/>
      </c>
    </row>
    <row r="7" ht="30" customHeight="1">
      <c r="A7" s="23" t="inlineStr">
        <is>
          <t>🤖 まず自分の経験と考えを自分の言葉で書こう。書き終わったら「AIプロンプト」シートの【壁打ち①】を使って、考えを深めるヒントをもらう。AIに答えを書いてもらうのではなく、フィードバックをもらうのが目的だよ。</t>
        </is>
      </c>
      <c r="B7" s="23" t="n"/>
      <c r="C7" s="23" t="n"/>
      <c r="D7" s="23" t="n"/>
    </row>
    <row r="9" ht="78" customHeight="1">
      <c r="A9" s="21" t="inlineStr">
        <is>
          <t>【発問②／思考・判断・表現】　200〜250字
「素顔同盟」の先生は「仮面は私たちに真の平和と自由を与えてくれた」と言う。もし明日からあなたのクラス全員が仮面をつけることになったら、何が良くなり、何が失われるだろうか。そのうえで、先生の主張と「僕」の見方の、どちらがより危ないと思うか、本文の言葉を引いて書こう。</t>
        </is>
      </c>
      <c r="B9" s="21" t="n"/>
      <c r="C9" s="21" t="n"/>
      <c r="D9" s="21" t="n"/>
    </row>
    <row r="10" ht="126" customHeight="1">
      <c r="A10" s="22" t="n"/>
      <c r="B10" s="22" t="n"/>
      <c r="C10" s="22" t="n"/>
      <c r="D10" s="14">
        <f>IF(A10="","0/250字",LEN(A10)&amp;"/250字")</f>
        <v/>
      </c>
    </row>
    <row r="11" ht="39" customHeight="1">
      <c r="A11" s="23" t="inlineStr">
        <is>
          <t>🤖 「僕が正しい」で終わっていないか自分で点検しよう。仮面のおかげで避けられている争いは、本文に書かれていないかな。自分の考えを書いたあとで【壁打ち①】に①②まとめて見せるとよい。AIに判断してもらうのではなく、見落としを教えてもらうつもりで。</t>
        </is>
      </c>
      <c r="B11" s="23" t="n"/>
      <c r="C11" s="23" t="n"/>
      <c r="D11" s="23" t="n"/>
    </row>
    <row r="13" ht="22" customHeight="1">
      <c r="A13" s="24" t="inlineStr">
        <is>
          <t>■ まとめ活動　批評文（800字）　第7時＋家庭学習</t>
        </is>
      </c>
      <c r="B13" s="24" t="n"/>
      <c r="C13" s="24" t="n"/>
      <c r="D13" s="24" t="n"/>
    </row>
    <row r="14" ht="32" customHeight="1">
      <c r="A14" s="6" t="inlineStr">
        <is>
          <t>【誰に・何のために書くか】　まだ「素顔同盟」も「私」も読んでいない、隣のクラスの友達に向けて書く。読んでいない相手だから、引用しないと伝わらない。</t>
        </is>
      </c>
      <c r="B14" s="6" t="n"/>
      <c r="C14" s="6" t="n"/>
      <c r="D14" s="6" t="n"/>
    </row>
    <row r="15" ht="32" customHeight="1">
      <c r="A15" s="25" t="inlineStr">
        <is>
          <t>【課題】二つの作品は、「私が私であること」を何が支え、何が奪うと考えているか。二つの作品のものの見方・考え方を検討したうえで、あなた自身の考えを書きなさい。（800字）</t>
        </is>
      </c>
      <c r="B15" s="25" t="n"/>
      <c r="C15" s="25" t="n"/>
      <c r="D15" s="25" t="n"/>
    </row>
    <row r="16" ht="62" customHeight="1">
      <c r="A16" s="26" t="inlineStr">
        <is>
          <t>【必ず入れること】
① 両作品からそれぞれ一か所以上引用し、その作品が「私が私であること」について何を支え・何が奪うと考えているかを示す
② 少なくとも一方の作品の見方に対して、「しかし」「とはいえ」で始まる疑いの一文を入れる
③ 代表者協議で自分の考えが動いた発言に触れ、自分の生活や今の社会と結ぶ</t>
        </is>
      </c>
      <c r="B16" s="26" t="n"/>
      <c r="C16" s="26" t="n"/>
      <c r="D16" s="26" t="n"/>
    </row>
    <row r="17" ht="22" customHeight="1">
      <c r="A17" s="19" t="inlineStr">
        <is>
          <t>★ ①と②の両方に触れていないと、A以上にはならないよ。③まで書けるとSに届く。</t>
        </is>
      </c>
      <c r="B17" s="19" t="n"/>
      <c r="C17" s="19" t="n"/>
      <c r="D17" s="19" t="n"/>
    </row>
    <row r="18">
      <c r="A18" s="27" t="inlineStr">
        <is>
          <t>【構想メモ】　主張1文／「素顔同盟」からの引用／「私」からの引用／考えが動いた発言</t>
        </is>
      </c>
      <c r="B18" s="27" t="n"/>
      <c r="C18" s="27" t="n"/>
      <c r="D18" s="27" t="n"/>
    </row>
    <row r="19" ht="96" customHeight="1">
      <c r="A19" s="22" t="n"/>
      <c r="B19" s="22" t="n"/>
      <c r="C19" s="22" t="n"/>
    </row>
    <row r="20" ht="30" customHeight="1">
      <c r="A20" s="23" t="inlineStr">
        <is>
          <t>🤖 構想メモが書けたら「AIプロンプト」シートの【壁打ち②】で、条件①②を満たしているかだけ確認してもらおう。AIに構想を作ってもらうのはNG。自分の構想を点検してもらうために使う。</t>
        </is>
      </c>
      <c r="B20" s="23" t="n"/>
      <c r="C20" s="23" t="n"/>
      <c r="D20" s="23" t="n"/>
    </row>
    <row r="22" ht="26" customHeight="1">
      <c r="A22" s="27" t="inlineStr">
        <is>
          <t>【第7時に教室で書く：主張の一段落（200字）】　主張1文＋「素顔同盟」からの引用＋「私」からの引用をつなげる</t>
        </is>
      </c>
      <c r="B22" s="27" t="n"/>
      <c r="C22" s="27" t="n"/>
      <c r="D22" s="27" t="n"/>
    </row>
    <row r="23" ht="84" customHeight="1">
      <c r="A23" s="22" t="n"/>
      <c r="B23" s="22" t="n"/>
      <c r="C23" s="22" t="n"/>
      <c r="D23" s="14">
        <f>IF(A23="","0/200字",LEN(A23)&amp;"/200字")</f>
        <v/>
      </c>
    </row>
    <row r="24" ht="26" customHeight="1">
      <c r="A24" s="28" t="inlineStr">
        <is>
          <t>【批評文（800字）】　上の一段落を核にして、家庭学習で800字に展開する　★提出するのはここ</t>
        </is>
      </c>
      <c r="B24" s="28" t="n"/>
      <c r="C24" s="28" t="n"/>
      <c r="D24" s="28" t="n"/>
    </row>
    <row r="25" ht="300" customHeight="1">
      <c r="A25" s="22" t="n"/>
      <c r="B25" s="22" t="n"/>
      <c r="C25" s="22" t="n"/>
      <c r="D25" s="29">
        <f>IF(A25="","0/800字",LEN(A25)&amp;"/800字")</f>
        <v/>
      </c>
    </row>
    <row r="26" ht="30" customHeight="1">
      <c r="A26" s="23" t="inlineStr">
        <is>
          <t>🤖 書き終わったら「AIプロンプト」シートの【添削】を使って、条件①②③のチェックとヒントだけもらおう。AIに書き直してもらってはいけない。直すのは自分の手で。</t>
        </is>
      </c>
      <c r="B26" s="23" t="n"/>
      <c r="C26" s="23" t="n"/>
      <c r="D26" s="23" t="n"/>
    </row>
    <row r="28" ht="22" customHeight="1">
      <c r="A28" s="30" t="inlineStr">
        <is>
          <t>■ AIの評価と、自分の評価</t>
        </is>
      </c>
      <c r="B28" s="30" t="n"/>
      <c r="C28" s="30" t="n"/>
      <c r="D28" s="30" t="n"/>
    </row>
    <row r="29" ht="24" customHeight="1">
      <c r="A29" s="10" t="inlineStr">
        <is>
          <t>AIの評価（先生が入力して返します）</t>
        </is>
      </c>
      <c r="B29" s="10" t="n"/>
      <c r="C29" s="31" t="n"/>
      <c r="D29" s="31" t="n"/>
    </row>
    <row r="30" ht="60" customHeight="1">
      <c r="A30" s="10" t="inlineStr">
        <is>
          <t>AIからのコメント（先生が入力して返します）</t>
        </is>
      </c>
      <c r="B30" s="10" t="n"/>
      <c r="C30" s="32" t="n"/>
      <c r="D30" s="32" t="n"/>
    </row>
    <row r="31" ht="24" customHeight="1">
      <c r="A31" s="10" t="inlineStr">
        <is>
          <t>自分の評価（S・A・B・C・Dから選ぶ）</t>
        </is>
      </c>
      <c r="B31" s="10" t="n"/>
      <c r="C31" s="33" t="n"/>
      <c r="D31" s="33" t="n"/>
    </row>
    <row r="32" ht="30" customHeight="1">
      <c r="A32" s="23" t="inlineStr">
        <is>
          <t>🤖 AIの評価と自分の評価がずれたときが、いちばん学べるところ。どちらが正しいかではなく、なぜずれたのかを考えよう。</t>
        </is>
      </c>
      <c r="B32" s="23" t="n"/>
      <c r="C32" s="23" t="n"/>
      <c r="D32" s="23" t="n"/>
    </row>
    <row r="33" ht="26" customHeight="1">
      <c r="A33" s="27" t="inlineStr">
        <is>
          <t>【評価のちがいを考える】　AIの評価と自分の評価はなぜずれた（または一致した）のか（100字くらい）</t>
        </is>
      </c>
      <c r="B33" s="27" t="n"/>
      <c r="C33" s="27" t="n"/>
      <c r="D33" s="27" t="n"/>
    </row>
    <row r="34" ht="72" customHeight="1">
      <c r="A34" s="22" t="n"/>
      <c r="B34" s="22" t="n"/>
      <c r="C34" s="22" t="n"/>
      <c r="D34" s="14">
        <f>IF(A34="","0/100字",LEN(A34)&amp;"/100字")</f>
        <v/>
      </c>
    </row>
    <row r="36" ht="22" customHeight="1">
      <c r="A36" s="34" t="inlineStr">
        <is>
          <t>■ ふりかえり</t>
        </is>
      </c>
      <c r="B36" s="34" t="n"/>
      <c r="C36" s="34" t="n"/>
      <c r="D36" s="34" t="n"/>
    </row>
    <row r="37" ht="26" customHeight="1">
      <c r="A37" s="27" t="inlineStr">
        <is>
          <t>【ふりかえり】　この単元で、自分の読み方はどこが変わったか。「批判の目」の①〜④のどれがいちばん役に立ったか（150字くらい）</t>
        </is>
      </c>
      <c r="B37" s="27" t="n"/>
      <c r="C37" s="27" t="n"/>
      <c r="D37" s="27" t="n"/>
    </row>
    <row r="38" ht="96" customHeight="1">
      <c r="A38" s="22" t="n"/>
      <c r="B38" s="22" t="n"/>
      <c r="C38" s="22" t="n"/>
      <c r="D38" s="14">
        <f>IF(A38="","0/150字",LEN(A38)&amp;"/150字")</f>
        <v/>
      </c>
    </row>
  </sheetData>
  <mergeCells count="35">
    <mergeCell ref="A5:D5"/>
    <mergeCell ref="A17:D17"/>
    <mergeCell ref="A25:C25"/>
    <mergeCell ref="A30:B30"/>
    <mergeCell ref="C30:D30"/>
    <mergeCell ref="A22:D22"/>
    <mergeCell ref="A4:D4"/>
    <mergeCell ref="A20:D20"/>
    <mergeCell ref="A28:D28"/>
    <mergeCell ref="A13:D13"/>
    <mergeCell ref="A9:D9"/>
    <mergeCell ref="C29:D29"/>
    <mergeCell ref="A23:C23"/>
    <mergeCell ref="A15:D15"/>
    <mergeCell ref="A24:D24"/>
    <mergeCell ref="A11:D11"/>
    <mergeCell ref="C31:D31"/>
    <mergeCell ref="A38:C38"/>
    <mergeCell ref="A36:D36"/>
    <mergeCell ref="A10:C10"/>
    <mergeCell ref="A1:D1"/>
    <mergeCell ref="A19:C19"/>
    <mergeCell ref="A7:D7"/>
    <mergeCell ref="A16:D16"/>
    <mergeCell ref="A34:C34"/>
    <mergeCell ref="A37:D37"/>
    <mergeCell ref="A18:D18"/>
    <mergeCell ref="A29:B29"/>
    <mergeCell ref="A26:D26"/>
    <mergeCell ref="A6:C6"/>
    <mergeCell ref="A2:D2"/>
    <mergeCell ref="A33:D33"/>
    <mergeCell ref="A31:B31"/>
    <mergeCell ref="A32:D32"/>
    <mergeCell ref="A14:D14"/>
  </mergeCells>
  <dataValidations count="1">
    <dataValidation sqref="C31" showDropDown="0" showInputMessage="0" showErrorMessage="0" allowBlank="1" type="list">
      <formula1>"S,A,B,C,D"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ht="30" customHeight="1">
      <c r="A1" s="1" t="inlineStr">
        <is>
          <t>AIプロンプト集　――　コピーして使う</t>
        </is>
      </c>
    </row>
    <row r="2" ht="30" customHeight="1">
      <c r="A2" s="19" t="inlineStr">
        <is>
          <t>共通ルール：自分の名前は書かない／まず自分で書いてから使う／AIに書いてもらうのではなく、フィードバックをもらう</t>
        </is>
      </c>
    </row>
    <row r="4" ht="22" customHeight="1">
      <c r="A4" s="7" t="inlineStr">
        <is>
          <t>【壁打ち①　発問チェック】　―― 第3時・第4時で発問を書いたあとに使う</t>
        </is>
      </c>
    </row>
    <row r="5" ht="330" customHeight="1">
      <c r="A5" s="35" t="inlineStr">
        <is>
          <t>あなたは中学校国語の先生です。中学3年生にわかりやすい言葉で答えてください。
私は「素顔同盟」（すやまたけし）と「私」（三崎亜記）という二つの小説を、批判的に読む学習をしています。
「批判的に読む」とは、書いてあることを鵜呑みにせず、根拠を確かめて吟味することです。
下に私が書いた答えを貼ります。考えを深めるためのヒントをください。
次の3点にしぼってコメントしてください。
1. 本文の根拠が足りないところはどこか
2. 私が「当たり前」として疑わずに通してしまっている前提はないか
3. 反対の立場から出そうな反論は何か
★注意：私の文章を書き直さないでください。ヒントだけをください。300字以内で。
――――――――――――――――
【発問①への私の答え】
★ここに貼る★
【発問②への私の答え】
★ここに貼る★
――――――――――――――――</t>
        </is>
      </c>
    </row>
    <row r="7" ht="22" customHeight="1">
      <c r="A7" s="7" t="inlineStr">
        <is>
          <t>【壁打ち②　構想チェック】　―― 第7時のあと、批評文を書き始める前に使う</t>
        </is>
      </c>
    </row>
    <row r="8" ht="400" customHeight="1">
      <c r="A8" s="35" t="inlineStr">
        <is>
          <t>あなたは中学校国語の先生です。中学3年生にわかりやすい言葉で答えてください。
私は「素顔同盟」（すやまたけし）と「私」（三崎亜記）について、批評文（800字）を書きます。
読む相手は、まだこの二つの作品を読んでいない隣のクラスの友達です。
【課題】二つの作品は、「私が私であること」を何が支え、何が奪うと考えているか。
二つの作品のものの見方・考え方を検討したうえで、自分の考えを書く。
【必ず入れる条件】
① 両作品からそれぞれ一か所以上引用し、その作品が「私が私であること」について
   何を支え・何が奪うと考えているかを示す
② 少なくとも一方の作品の見方に対して、「しかし」「とはいえ」で始まる疑いの一文を入れる
③ 話し合いで自分の考えが動いた発言に触れ、自分の生活や今の社会と結ぶ
下に私の構想メモを貼ります。①②③を満たしているかをチェックして、
足りないところを教えてください。読んでいない友達に伝わるかも見てください。
★注意：構想を代わりに作らないでください。私の構想への助言だけをください。300字以内で。
――――――――――――――――
【私の構想メモ】
★ここに貼る★
――――――――――――――――</t>
        </is>
      </c>
    </row>
    <row r="10" ht="22" customHeight="1">
      <c r="A10" s="7" t="inlineStr">
        <is>
          <t>【添削　批評文アドバイス】　―― 批評文を書き終えたあとに使う</t>
        </is>
      </c>
    </row>
    <row r="11" ht="360" customHeight="1">
      <c r="A11" s="35" t="inlineStr">
        <is>
          <t>あなたは中学校国語の先生です。中学3年生にわかりやすい言葉で答えてください。
下に私が書いた批評文（800字）を貼ります。読む相手は、まだ「素顔同盟」も「私」も
読んでいない隣のクラスの友達です。
次のチェックリストで確認し、ヒントをください。
□ ① 両作品からそれぞれ一か所以上引用しているか。その引用が根拠になっているか
□ ② 少なくとも一方の作品の見方に「しかし」「とはいえ」で疑いを差しはさんでいるか
□ ③ 話し合いで考えが動いた発言に触れ、自分の生活や社会と結んでいるか
□ 読んでいない友達にも、二つの作品の中身が伝わるか
□ あらすじの説明が長すぎて、自分の考えが薄くなっていないか
★注意：書き直した文章を出さないでください。直すのは私です。ヒントだけを400字以内で。
――――――――――――――――
【私の批評文】
★ここに貼る★
――――――――――――――――</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0" customWidth="1" min="1" max="1"/>
    <col width="40" customWidth="1" min="2" max="2"/>
    <col width="40" customWidth="1" min="3" max="3"/>
    <col width="12" customWidth="1" min="4" max="4"/>
  </cols>
  <sheetData>
    <row r="1" ht="30" customHeight="1">
      <c r="A1" s="1" t="inlineStr">
        <is>
          <t>協議・比較ワークシート（第4時〜第7時）</t>
        </is>
      </c>
      <c r="B1" s="1" t="n"/>
      <c r="C1" s="1" t="n"/>
      <c r="D1" s="1" t="n"/>
    </row>
    <row r="3" ht="22" customHeight="1">
      <c r="A3" s="9" t="inlineStr">
        <is>
          <t>■ 二作比較表（第4時）　―― 批評文の材料になる。ここを埋めれば書ける</t>
        </is>
      </c>
      <c r="B3" s="9" t="n"/>
      <c r="C3" s="9" t="n"/>
      <c r="D3" s="9" t="n"/>
    </row>
    <row r="4">
      <c r="A4" s="12" t="inlineStr">
        <is>
          <t>比べること</t>
        </is>
      </c>
      <c r="B4" s="12" t="inlineStr">
        <is>
          <t>素顔同盟</t>
        </is>
      </c>
      <c r="C4" s="12" t="inlineStr">
        <is>
          <t>私</t>
        </is>
      </c>
      <c r="D4" s="12" t="inlineStr">
        <is>
          <t>気づいたこと</t>
        </is>
      </c>
    </row>
    <row r="5" ht="48" customHeight="1">
      <c r="A5" s="10" t="inlineStr">
        <is>
          <t>「私」を消すものは何か</t>
        </is>
      </c>
      <c r="B5" s="22" t="n"/>
      <c r="C5" s="22" t="n"/>
      <c r="D5" s="22" t="n"/>
    </row>
    <row r="6" ht="48" customHeight="1">
      <c r="A6" s="10" t="inlineStr">
        <is>
          <t>語り手はどんな立場の人か</t>
        </is>
      </c>
      <c r="B6" s="22" t="n"/>
      <c r="C6" s="22" t="n"/>
      <c r="D6" s="22" t="n"/>
    </row>
    <row r="7" ht="48" customHeight="1">
      <c r="A7" s="10" t="inlineStr">
        <is>
          <t>語り手は自分の状況に気づいているか</t>
        </is>
      </c>
      <c r="B7" s="22" t="n"/>
      <c r="C7" s="22" t="n"/>
      <c r="D7" s="22" t="n"/>
    </row>
    <row r="8" ht="48" customHeight="1">
      <c r="A8" s="10" t="inlineStr">
        <is>
          <t>結末で語り手は何をするか</t>
        </is>
      </c>
      <c r="B8" s="22" t="n"/>
      <c r="C8" s="22" t="n"/>
      <c r="D8" s="22" t="n"/>
    </row>
    <row r="9" ht="48" customHeight="1">
      <c r="A9" s="10" t="inlineStr">
        <is>
          <t>読者は語り手に共感できるか</t>
        </is>
      </c>
      <c r="B9" s="22" t="n"/>
      <c r="C9" s="22" t="n"/>
      <c r="D9" s="22" t="n"/>
    </row>
    <row r="10" ht="48" customHeight="1">
      <c r="A10" s="10" t="inlineStr">
        <is>
          <t>この作品は何を良いこととして書いているか</t>
        </is>
      </c>
      <c r="B10" s="22" t="n"/>
      <c r="C10" s="22" t="n"/>
      <c r="D10" s="22" t="n"/>
    </row>
    <row r="11" ht="48" customHeight="1">
      <c r="A11" s="10" t="inlineStr">
        <is>
          <t>本文の根拠（引用したい一文）</t>
        </is>
      </c>
      <c r="B11" s="22" t="n"/>
      <c r="C11" s="22" t="n"/>
      <c r="D11" s="22" t="n"/>
    </row>
    <row r="13" ht="22" customHeight="1">
      <c r="A13" s="24" t="inlineStr">
        <is>
          <t>■ 提案メモ（第4時に作る／第5・6時で読む）　―― これを2分で読んで議論を始める</t>
        </is>
      </c>
      <c r="B13" s="24" t="n"/>
      <c r="C13" s="24" t="n"/>
      <c r="D13" s="24" t="n"/>
    </row>
    <row r="14" ht="24" customHeight="1">
      <c r="A14" s="10" t="inlineStr">
        <is>
          <t>自分が提案者になる論題の番号（①〜⑥）</t>
        </is>
      </c>
      <c r="B14" s="10" t="n"/>
      <c r="C14" s="10" t="n"/>
      <c r="D14" s="36" t="n"/>
    </row>
    <row r="15" ht="54" customHeight="1">
      <c r="A15" s="10" t="inlineStr">
        <is>
          <t>主張（1文で言い切る）</t>
        </is>
      </c>
      <c r="B15" s="22" t="n"/>
      <c r="C15" s="22" t="n"/>
      <c r="D15" s="22" t="n"/>
    </row>
    <row r="16" ht="54" customHeight="1">
      <c r="A16" s="10" t="inlineStr">
        <is>
          <t>根拠となる本文①（引用＋何ページ何行目か）</t>
        </is>
      </c>
      <c r="B16" s="22" t="n"/>
      <c r="C16" s="22" t="n"/>
      <c r="D16" s="22" t="n"/>
    </row>
    <row r="17" ht="54" customHeight="1">
      <c r="A17" s="10" t="inlineStr">
        <is>
          <t>根拠となる本文②（引用＋何ページ何行目か）</t>
        </is>
      </c>
      <c r="B17" s="22" t="n"/>
      <c r="C17" s="22" t="n"/>
      <c r="D17" s="22" t="n"/>
    </row>
    <row r="18" ht="54" customHeight="1">
      <c r="A18" s="10" t="inlineStr">
        <is>
          <t>反対されそうなこと、と自分の答え</t>
        </is>
      </c>
      <c r="B18" s="22" t="n"/>
      <c r="C18" s="22" t="n"/>
      <c r="D18" s="22" t="n"/>
    </row>
    <row r="20" ht="22" customHeight="1">
      <c r="A20" s="37" t="inlineStr">
        <is>
          <t>■ 記録係シート（第5・6時）　―― 自分が記録係のラウンドで書く</t>
        </is>
      </c>
      <c r="B20" s="37" t="n"/>
      <c r="C20" s="37" t="n"/>
      <c r="D20" s="37" t="n"/>
    </row>
    <row r="21">
      <c r="A21" s="12" t="inlineStr">
        <is>
          <t>ラウンド</t>
        </is>
      </c>
      <c r="B21" s="12" t="inlineStr">
        <is>
          <t>提案者の主張（1行）</t>
        </is>
      </c>
      <c r="C21" s="12" t="inlineStr">
        <is>
          <t>議論の到達点（1行）</t>
        </is>
      </c>
      <c r="D21" s="12" t="inlineStr">
        <is>
          <t>論題</t>
        </is>
      </c>
    </row>
    <row r="22" ht="40" customHeight="1">
      <c r="A22" s="4" t="inlineStr">
        <is>
          <t>第1 ラウンド</t>
        </is>
      </c>
      <c r="B22" s="22" t="n"/>
      <c r="C22" s="22" t="n"/>
      <c r="D22" s="22" t="n"/>
    </row>
    <row r="23" ht="40" customHeight="1">
      <c r="A23" s="4" t="inlineStr">
        <is>
          <t>第2 ラウンド</t>
        </is>
      </c>
      <c r="B23" s="22" t="n"/>
      <c r="C23" s="22" t="n"/>
      <c r="D23" s="22" t="n"/>
    </row>
    <row r="24" ht="40" customHeight="1">
      <c r="A24" s="4" t="inlineStr">
        <is>
          <t>第3 ラウンド</t>
        </is>
      </c>
      <c r="B24" s="22" t="n"/>
      <c r="C24" s="22" t="n"/>
      <c r="D24" s="22" t="n"/>
    </row>
    <row r="25" ht="40" customHeight="1">
      <c r="A25" s="4" t="inlineStr">
        <is>
          <t>第4 ラウンド</t>
        </is>
      </c>
      <c r="B25" s="22" t="n"/>
      <c r="C25" s="22" t="n"/>
      <c r="D25" s="22" t="n"/>
    </row>
    <row r="26" ht="40" customHeight="1">
      <c r="A26" s="4" t="inlineStr">
        <is>
          <t>第5 ラウンド</t>
        </is>
      </c>
      <c r="B26" s="22" t="n"/>
      <c r="C26" s="22" t="n"/>
      <c r="D26" s="22" t="n"/>
    </row>
    <row r="27" ht="40" customHeight="1">
      <c r="A27" s="4" t="inlineStr">
        <is>
          <t>第6 ラウンド</t>
        </is>
      </c>
      <c r="B27" s="22" t="n"/>
      <c r="C27" s="22" t="n"/>
      <c r="D27" s="22" t="n"/>
    </row>
    <row r="29" ht="22" customHeight="1">
      <c r="A29" s="34" t="inlineStr">
        <is>
          <t>■ フロア記録シート（第7時）　―― パネルを聞きながら書く。批評文の条件③の材料</t>
        </is>
      </c>
      <c r="B29" s="34" t="n"/>
      <c r="C29" s="34" t="n"/>
      <c r="D29" s="34" t="n"/>
    </row>
    <row r="30" ht="54" customHeight="1">
      <c r="A30" s="10" t="inlineStr">
        <is>
          <t>パネル①で「自分の考えが動いた発言」（だれの、どんな発言か）</t>
        </is>
      </c>
      <c r="B30" s="22" t="n"/>
      <c r="C30" s="22" t="n"/>
      <c r="D30" s="22" t="n"/>
    </row>
    <row r="31" ht="54" customHeight="1">
      <c r="A31" s="10" t="inlineStr">
        <is>
          <t xml:space="preserve">　なぜ動いたのか（自分はそれまでどう考えていたか）</t>
        </is>
      </c>
      <c r="B31" s="22" t="n"/>
      <c r="C31" s="22" t="n"/>
      <c r="D31" s="22" t="n"/>
    </row>
    <row r="32" ht="54" customHeight="1">
      <c r="A32" s="10" t="inlineStr">
        <is>
          <t>パネル②で「自分の考えが動いた発言」</t>
        </is>
      </c>
      <c r="B32" s="22" t="n"/>
      <c r="C32" s="22" t="n"/>
      <c r="D32" s="22" t="n"/>
    </row>
    <row r="33" ht="54" customHeight="1">
      <c r="A33" s="10" t="inlineStr">
        <is>
          <t xml:space="preserve">　なぜ動いたのか</t>
        </is>
      </c>
      <c r="B33" s="22" t="n"/>
      <c r="C33" s="22" t="n"/>
      <c r="D33" s="22" t="n"/>
    </row>
  </sheetData>
  <mergeCells count="14">
    <mergeCell ref="B33:D33"/>
    <mergeCell ref="A1:D1"/>
    <mergeCell ref="B31:D31"/>
    <mergeCell ref="A14:C14"/>
    <mergeCell ref="A3:D3"/>
    <mergeCell ref="A20:D20"/>
    <mergeCell ref="B32:D32"/>
    <mergeCell ref="B16:D16"/>
    <mergeCell ref="B17:D17"/>
    <mergeCell ref="B18:D18"/>
    <mergeCell ref="A29:D29"/>
    <mergeCell ref="B30:D30"/>
    <mergeCell ref="B15:D15"/>
    <mergeCell ref="A13:D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2026-09-24T06:10:33Z</dcterms:created>
  <dcterms:modified xsi:type="dcterms:W3CDTF">2026-09-24T06:10:33Z</dcterms:modified>
</cp:coreProperties>
</file>